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cenzo/Downloads/"/>
    </mc:Choice>
  </mc:AlternateContent>
  <xr:revisionPtr revIDLastSave="0" documentId="8_{AFD7BD62-330A-E143-995E-2B26C1696707}" xr6:coauthVersionLast="47" xr6:coauthVersionMax="47" xr10:uidLastSave="{00000000-0000-0000-0000-000000000000}"/>
  <bookViews>
    <workbookView xWindow="0" yWindow="600" windowWidth="28800" windowHeight="17400" firstSheet="3" activeTab="10" xr2:uid="{00000000-000D-0000-FFFF-FFFF00000000}"/>
  </bookViews>
  <sheets>
    <sheet name="BATEAS" sheetId="1" r:id="rId1"/>
    <sheet name="RESIDUOS" sheetId="2" r:id="rId2"/>
    <sheet name="RESPALDO BATEAS" sheetId="3" r:id="rId3"/>
    <sheet name="RESPALDO RESIDUOS" sheetId="4" r:id="rId4"/>
    <sheet name="PROYECCION_RESIDUOS" sheetId="5" r:id="rId5"/>
    <sheet name="INFRAESTRUCTURA" sheetId="6" r:id="rId6"/>
    <sheet name="ESCENARIOS" sheetId="7" r:id="rId7"/>
    <sheet name="DISTRIBUCION_INFRAESTRUCTURA" sheetId="8" r:id="rId8"/>
    <sheet name="FUTUROS_RELLENOS" sheetId="9" r:id="rId9"/>
    <sheet name="PARAMETROS" sheetId="10" r:id="rId10"/>
    <sheet name="DISTANCIA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1" l="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J8" i="4"/>
  <c r="G8" i="4"/>
  <c r="D8" i="4"/>
  <c r="J7" i="4"/>
  <c r="G7" i="4"/>
  <c r="D7" i="4"/>
  <c r="J6" i="4"/>
  <c r="G6" i="4"/>
  <c r="D6" i="4"/>
  <c r="J5" i="4"/>
  <c r="G5" i="4"/>
  <c r="D5" i="4"/>
  <c r="J4" i="4"/>
  <c r="G4" i="4"/>
  <c r="D4" i="4"/>
  <c r="J3" i="4"/>
  <c r="G3" i="4"/>
  <c r="D3" i="4"/>
  <c r="B16" i="2"/>
  <c r="C15" i="2"/>
  <c r="B15" i="2"/>
  <c r="C14" i="2"/>
  <c r="B14" i="2"/>
  <c r="C13" i="2"/>
  <c r="C16" i="2" s="1"/>
  <c r="B13" i="2"/>
  <c r="E8" i="2"/>
  <c r="E7" i="2"/>
  <c r="E6" i="2"/>
  <c r="E5" i="2"/>
  <c r="E4" i="2"/>
  <c r="E3" i="2"/>
  <c r="E2" i="2"/>
  <c r="D27" i="1"/>
  <c r="C27" i="1"/>
  <c r="B27" i="1"/>
  <c r="B24" i="1"/>
  <c r="B25" i="1" s="1"/>
  <c r="B26" i="1" s="1"/>
  <c r="D23" i="1"/>
  <c r="D24" i="1" s="1"/>
  <c r="D25" i="1" s="1"/>
  <c r="C23" i="1"/>
  <c r="C24" i="1" s="1"/>
  <c r="C25" i="1" s="1"/>
  <c r="B23" i="1"/>
  <c r="D18" i="1"/>
  <c r="C18" i="1"/>
  <c r="B18" i="1"/>
</calcChain>
</file>

<file path=xl/sharedStrings.xml><?xml version="1.0" encoding="utf-8"?>
<sst xmlns="http://schemas.openxmlformats.org/spreadsheetml/2006/main" count="537" uniqueCount="164">
  <si>
    <t>BATEAS</t>
  </si>
  <si>
    <t>Demanda Diaria actual</t>
  </si>
  <si>
    <t>toneladas</t>
  </si>
  <si>
    <t>Capacidad Batea</t>
  </si>
  <si>
    <t>Viajes Totales (Día)</t>
  </si>
  <si>
    <t>viajes</t>
  </si>
  <si>
    <t>Viajes por Turno</t>
  </si>
  <si>
    <t>Consumo Cargado</t>
  </si>
  <si>
    <t>litros/km</t>
  </si>
  <si>
    <t>Consumo Vacío</t>
  </si>
  <si>
    <t>Jornada Laboral</t>
  </si>
  <si>
    <t>minutos</t>
  </si>
  <si>
    <t>ORIGEN</t>
  </si>
  <si>
    <t>ET</t>
  </si>
  <si>
    <t>Latitud</t>
  </si>
  <si>
    <t>Longitud</t>
  </si>
  <si>
    <t>DESTINO</t>
  </si>
  <si>
    <t>Emp. San Carlos</t>
  </si>
  <si>
    <t>Oeste</t>
  </si>
  <si>
    <t>Recreo Norte</t>
  </si>
  <si>
    <t>Dist. Ida (km)</t>
  </si>
  <si>
    <t>Dist. total (km)</t>
  </si>
  <si>
    <t>Tiempo Ida (min)</t>
  </si>
  <si>
    <t>Tiempo Vuelta (min)</t>
  </si>
  <si>
    <t>Carga (min)</t>
  </si>
  <si>
    <t>Descarga (min)</t>
  </si>
  <si>
    <t>Ciclo Total (min)</t>
  </si>
  <si>
    <t>Viajes Posibles</t>
  </si>
  <si>
    <t>Toneladas por Camión/Turno</t>
  </si>
  <si>
    <t>Camiones para 300 t (Turno)</t>
  </si>
  <si>
    <t>Consumo Ciclo (L)</t>
  </si>
  <si>
    <t>Agentes</t>
  </si>
  <si>
    <t>Unidades</t>
  </si>
  <si>
    <t>Capacidad</t>
  </si>
  <si>
    <t>Viajes por dia</t>
  </si>
  <si>
    <t>Toneladas</t>
  </si>
  <si>
    <t>Cliba</t>
  </si>
  <si>
    <t>Urbafé</t>
  </si>
  <si>
    <t>Municipalidad</t>
  </si>
  <si>
    <t>Empresas X</t>
  </si>
  <si>
    <t>Santo Tome</t>
  </si>
  <si>
    <t>Área Metropolitana</t>
  </si>
  <si>
    <t>TOTAL</t>
  </si>
  <si>
    <t>%</t>
  </si>
  <si>
    <t>Santa Fe</t>
  </si>
  <si>
    <t>OA Metrop</t>
  </si>
  <si>
    <t>Concepto</t>
  </si>
  <si>
    <t>Valor / Variable</t>
  </si>
  <si>
    <t>Justificación Técnica y Bibliográfica</t>
  </si>
  <si>
    <t>Demanda Diaria</t>
  </si>
  <si>
    <t>Transferencia de residuos de la ciudad.</t>
  </si>
  <si>
    <t>Capacidad neta de carga por unidad en Toneladas (Batea de 3 ejes).</t>
  </si>
  <si>
    <t>20 Viajes</t>
  </si>
  <si>
    <t>Calculado como: 600 t / 30 t/viaje</t>
  </si>
  <si>
    <t>10 Viajes</t>
  </si>
  <si>
    <t>Distribución operativa: 50% mañana / 50% tarde.</t>
  </si>
  <si>
    <t>Factor Tiempo (Cargado)</t>
  </si>
  <si>
    <t>Google Maps + 30%</t>
  </si>
  <si>
    <t>Inercia de 45t y aceleración lenta en entorno urbano/periurbano.</t>
  </si>
  <si>
    <t>Factor Tiempo (Vacío)</t>
  </si>
  <si>
    <t>Google Maps + 10%</t>
  </si>
  <si>
    <t>Mejor relación potencia/peso; limitado por ley a 80 km/h.</t>
  </si>
  <si>
    <t>0,52 L/km</t>
  </si>
  <si>
    <t>Basado en BSFC para motores de alto torque (aprox. 1.9 km/L).</t>
  </si>
  <si>
    <t>0,30 L/km</t>
  </si>
  <si>
    <t>Menor resistencia a la rodadura y demanda de torque (aprox. 3.3 km/L).</t>
  </si>
  <si>
    <t>Tiempo de Carga</t>
  </si>
  <si>
    <t>40 Minutos</t>
  </si>
  <si>
    <t>Tiempo de maniobra y transferencia en la ET.</t>
  </si>
  <si>
    <t>Tiempo de Descarga</t>
  </si>
  <si>
    <t>20 Minutos</t>
  </si>
  <si>
    <t>Proceso de vuelco hidráulico en el frente de relleno.</t>
  </si>
  <si>
    <t>480 Minutos (8h)</t>
  </si>
  <si>
    <t>Tiempo disponible por chofer/unidad por turno.</t>
  </si>
  <si>
    <t>Año</t>
  </si>
  <si>
    <t>Santo Tomé</t>
  </si>
  <si>
    <t>Resto de jurisdicciones**</t>
  </si>
  <si>
    <t>Total</t>
  </si>
  <si>
    <t>Habitantes</t>
  </si>
  <si>
    <t>TN por día*</t>
  </si>
  <si>
    <t>TON_ACTUAL_DIA</t>
  </si>
  <si>
    <t>PARTICIPACION_%</t>
  </si>
  <si>
    <t>TON_PROYECTADA_800</t>
  </si>
  <si>
    <t>PARTICIPACION_% = TON_ACTUAL_DIA / SUMA(TON_ACTUAL_DIA)</t>
  </si>
  <si>
    <t>TON_PROYECTADA_800 = PARTICIPACION_% * 800</t>
  </si>
  <si>
    <t>ID</t>
  </si>
  <si>
    <t>NOMBRE</t>
  </si>
  <si>
    <t>TIPO</t>
  </si>
  <si>
    <t>TAMAÑO</t>
  </si>
  <si>
    <t>CAPACIDAD_TN_DIA</t>
  </si>
  <si>
    <t>LATITUD</t>
  </si>
  <si>
    <t>LONGITUD</t>
  </si>
  <si>
    <t>FIJO_VARIABLE</t>
  </si>
  <si>
    <t>ET1</t>
  </si>
  <si>
    <t>Actual Relleno Sanitario</t>
  </si>
  <si>
    <t>Mediana</t>
  </si>
  <si>
    <t>Fijo</t>
  </si>
  <si>
    <t>ET2</t>
  </si>
  <si>
    <t>ET3</t>
  </si>
  <si>
    <t>Recreo</t>
  </si>
  <si>
    <t>Pequeña</t>
  </si>
  <si>
    <t>ET4</t>
  </si>
  <si>
    <t>Rincón</t>
  </si>
  <si>
    <t>PE1</t>
  </si>
  <si>
    <t>Planta Energía Actual RS</t>
  </si>
  <si>
    <t>Planta</t>
  </si>
  <si>
    <t>-</t>
  </si>
  <si>
    <t>FRS1</t>
  </si>
  <si>
    <t>Colonia San José</t>
  </si>
  <si>
    <t>Futuro RS</t>
  </si>
  <si>
    <t>Variable</t>
  </si>
  <si>
    <t>FRS2</t>
  </si>
  <si>
    <t>Empalme San Carlos</t>
  </si>
  <si>
    <t>FRS3</t>
  </si>
  <si>
    <t>Sauce Viejo</t>
  </si>
  <si>
    <t>ESCENARIO</t>
  </si>
  <si>
    <t>GENERACION_TOTAL</t>
  </si>
  <si>
    <t>TON_A_RELLENO</t>
  </si>
  <si>
    <t>TON_A_ET</t>
  </si>
  <si>
    <t>TON_A_PLANTA</t>
  </si>
  <si>
    <t>Actual 600</t>
  </si>
  <si>
    <t>Futuro 800 - Alternativa 1</t>
  </si>
  <si>
    <t>Futuro 800 - Alternativa 2</t>
  </si>
  <si>
    <t>Futuro 800 - Alternativa 3</t>
  </si>
  <si>
    <t>DESTINO_ID</t>
  </si>
  <si>
    <t>TON_DIA</t>
  </si>
  <si>
    <t>ET Mediana</t>
  </si>
  <si>
    <t>ET Pequeña</t>
  </si>
  <si>
    <t>Planta de Energía - Actual RS</t>
  </si>
  <si>
    <t>Planta Energía</t>
  </si>
  <si>
    <t>ID_RELLENO</t>
  </si>
  <si>
    <t>OBSERVACION</t>
  </si>
  <si>
    <t>Coordenada centro urbano</t>
  </si>
  <si>
    <t>PARAMETRO</t>
  </si>
  <si>
    <t>VALOR</t>
  </si>
  <si>
    <t>Toneladas actuales día</t>
  </si>
  <si>
    <t>Toneladas proyectadas día</t>
  </si>
  <si>
    <t>Horizonte proyección años</t>
  </si>
  <si>
    <t>Capacidad ET mediana</t>
  </si>
  <si>
    <t>Capacidad ET pequeña</t>
  </si>
  <si>
    <t>Capacidad planta energía</t>
  </si>
  <si>
    <t>TIPO_FLUJO</t>
  </si>
  <si>
    <t>ORIGEN_ID</t>
  </si>
  <si>
    <t>ORIGEN_TIPO</t>
  </si>
  <si>
    <t>ORIGEN_LAT</t>
  </si>
  <si>
    <t>ORIGEN_LON</t>
  </si>
  <si>
    <t>DESTINO_TIPO</t>
  </si>
  <si>
    <t>DESTINO_LAT</t>
  </si>
  <si>
    <t>DESTINO_LON</t>
  </si>
  <si>
    <t>KM_LINEAL</t>
  </si>
  <si>
    <t>FACTOR_RUTA</t>
  </si>
  <si>
    <t>KM_OPERATIVO</t>
  </si>
  <si>
    <t>KM_RUTA_REAL</t>
  </si>
  <si>
    <t>Origen → Futuro RS</t>
  </si>
  <si>
    <t>ORG1</t>
  </si>
  <si>
    <t>Origen generación</t>
  </si>
  <si>
    <t>Coordenada referencial centro urbano</t>
  </si>
  <si>
    <t>ORG2</t>
  </si>
  <si>
    <t>ORG3</t>
  </si>
  <si>
    <t>Coordenada referencial/centroide operativo a ajustar</t>
  </si>
  <si>
    <t>Origen → ET</t>
  </si>
  <si>
    <t>Origen → Planta Energía</t>
  </si>
  <si>
    <t>ET → Futuro RS</t>
  </si>
  <si>
    <t>Ruta de transferencia posterior al procesamiento en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</si>
</sst>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>
    <font>
      <sz val="12"/>
      <color theme="1"/>
      <name val="Aptos Narrow"/>
    </font>
    <font>
      <b/>
      <sz val="12"/>
      <color theme="1"/>
      <name val="Arial"/>
      <family val="2"/>
    </font>
    <font>
      <sz val="12"/>
      <color theme="1"/>
      <name val="Aptos Narrow"/>
    </font>
    <font>
      <b/>
      <sz val="12"/>
      <color rgb="FF1F1F1F"/>
      <name val="Arial"/>
      <family val="2"/>
    </font>
    <font>
      <sz val="12"/>
      <color theme="1"/>
      <name val="Arial"/>
      <family val="2"/>
    </font>
    <font>
      <sz val="12"/>
      <color rgb="FF1F1F1F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2"/>
      <name val="Aptos Narrow"/>
    </font>
    <font>
      <sz val="12"/>
      <name val="Aptos Narrow"/>
    </font>
    <font>
      <b/>
      <sz val="12"/>
      <color theme="1"/>
      <name val="Aptos Narrow"/>
    </font>
    <font>
      <b/>
      <sz val="12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0" borderId="0" xfId="0" applyNumberFormat="1" applyFont="1"/>
    <xf numFmtId="0" fontId="8" fillId="0" borderId="0" xfId="0" applyFont="1"/>
    <xf numFmtId="0" fontId="9" fillId="0" borderId="0" xfId="0" applyFont="1"/>
    <xf numFmtId="1" fontId="2" fillId="0" borderId="0" xfId="0" applyNumberFormat="1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" fontId="2" fillId="0" borderId="0" xfId="0" applyNumberFormat="1" applyFont="1"/>
    <xf numFmtId="0" fontId="4" fillId="2" borderId="0" xfId="0" applyFont="1" applyFill="1"/>
    <xf numFmtId="0" fontId="1" fillId="2" borderId="0" xfId="0" applyFont="1" applyFill="1"/>
    <xf numFmtId="0" fontId="10" fillId="0" borderId="0" xfId="0" applyFont="1"/>
    <xf numFmtId="10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istancias" displayName="TablaDistancias" ref="A1:P37">
  <tableColumns count="16">
    <tableColumn id="1" xr3:uid="{00000000-0010-0000-0000-000001000000}" name="TIPO_FLUJO"/>
    <tableColumn id="2" xr3:uid="{00000000-0010-0000-0000-000002000000}" name="ORIGEN_ID"/>
    <tableColumn id="3" xr3:uid="{00000000-0010-0000-0000-000003000000}" name="ORIGEN"/>
    <tableColumn id="4" xr3:uid="{00000000-0010-0000-0000-000004000000}" name="ORIGEN_TIPO"/>
    <tableColumn id="5" xr3:uid="{00000000-0010-0000-0000-000005000000}" name="ORIGEN_LAT"/>
    <tableColumn id="6" xr3:uid="{00000000-0010-0000-0000-000006000000}" name="ORIGEN_LON"/>
    <tableColumn id="7" xr3:uid="{00000000-0010-0000-0000-000007000000}" name="DESTINO_ID"/>
    <tableColumn id="8" xr3:uid="{00000000-0010-0000-0000-000008000000}" name="DESTINO"/>
    <tableColumn id="9" xr3:uid="{00000000-0010-0000-0000-000009000000}" name="DESTINO_TIPO"/>
    <tableColumn id="10" xr3:uid="{00000000-0010-0000-0000-00000A000000}" name="DESTINO_LAT"/>
    <tableColumn id="11" xr3:uid="{00000000-0010-0000-0000-00000B000000}" name="DESTINO_LON"/>
    <tableColumn id="12" xr3:uid="{00000000-0010-0000-0000-00000C000000}" name="KM_LINEAL"/>
    <tableColumn id="13" xr3:uid="{00000000-0010-0000-0000-00000D000000}" name="FACTOR_RUTA"/>
    <tableColumn id="14" xr3:uid="{00000000-0010-0000-0000-00000E000000}" name="KM_OPERATIVO"/>
    <tableColumn id="15" xr3:uid="{00000000-0010-0000-0000-00000F000000}" name="KM_RUTA_REAL"/>
    <tableColumn id="16" xr3:uid="{00000000-0010-0000-0000-000010000000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/>
  </sheetViews>
  <sheetFormatPr baseColWidth="10" defaultRowHeight="16"/>
  <cols>
    <col min="1" max="1" width="29.5" customWidth="1"/>
    <col min="2" max="2" width="17.1640625" style="8" customWidth="1"/>
    <col min="3" max="3" width="10.1640625" style="8" customWidth="1"/>
    <col min="4" max="4" width="14" style="8" customWidth="1"/>
  </cols>
  <sheetData>
    <row r="1" spans="1:26">
      <c r="A1" s="31" t="s">
        <v>0</v>
      </c>
      <c r="B1" s="4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</v>
      </c>
      <c r="B2" s="5">
        <v>600</v>
      </c>
      <c r="C2" s="5" t="s">
        <v>2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6">
        <v>30</v>
      </c>
      <c r="C3" s="5" t="s">
        <v>2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4</v>
      </c>
      <c r="B4" s="4">
        <v>20</v>
      </c>
      <c r="C4" s="5" t="s">
        <v>5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6</v>
      </c>
      <c r="B5" s="4">
        <v>10</v>
      </c>
      <c r="C5" s="5" t="s">
        <v>5</v>
      </c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7</v>
      </c>
      <c r="B6" s="6">
        <v>0.52</v>
      </c>
      <c r="C6" s="5" t="s">
        <v>8</v>
      </c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" t="s">
        <v>9</v>
      </c>
      <c r="B7" s="6">
        <v>0.3</v>
      </c>
      <c r="C7" s="5" t="s">
        <v>8</v>
      </c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" t="s">
        <v>10</v>
      </c>
      <c r="B8" s="5">
        <v>480</v>
      </c>
      <c r="C8" s="5" t="s">
        <v>11</v>
      </c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0" t="s">
        <v>12</v>
      </c>
      <c r="B10" s="7" t="s">
        <v>13</v>
      </c>
      <c r="C10" s="4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 t="s">
        <v>14</v>
      </c>
      <c r="B11" s="6">
        <v>-31.6</v>
      </c>
      <c r="C11" s="4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" t="s">
        <v>15</v>
      </c>
      <c r="B12" s="6">
        <v>-60.75</v>
      </c>
      <c r="C12" s="4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4"/>
      <c r="C13" s="4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0" t="s">
        <v>16</v>
      </c>
      <c r="B14" s="7" t="s">
        <v>17</v>
      </c>
      <c r="C14" s="7" t="s">
        <v>18</v>
      </c>
      <c r="D14" s="7" t="s">
        <v>19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" t="s">
        <v>14</v>
      </c>
      <c r="B15" s="6">
        <v>-31.54</v>
      </c>
      <c r="C15" s="6">
        <v>-31.68</v>
      </c>
      <c r="D15" s="6">
        <v>-31.47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" t="s">
        <v>15</v>
      </c>
      <c r="B16" s="6">
        <v>-60.81</v>
      </c>
      <c r="C16" s="6">
        <v>-60.86</v>
      </c>
      <c r="D16" s="6">
        <v>-60.76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" t="s">
        <v>20</v>
      </c>
      <c r="B17" s="6">
        <v>22</v>
      </c>
      <c r="C17" s="6">
        <v>20</v>
      </c>
      <c r="D17" s="6">
        <v>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21</v>
      </c>
      <c r="B18" s="4">
        <f>B17*2</f>
        <v>44</v>
      </c>
      <c r="C18" s="4">
        <f t="shared" ref="C18:D18" si="0">C17*2</f>
        <v>40</v>
      </c>
      <c r="D18" s="4">
        <f t="shared" si="0"/>
        <v>30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" t="s">
        <v>22</v>
      </c>
      <c r="B19" s="6">
        <v>35</v>
      </c>
      <c r="C19" s="6">
        <v>19</v>
      </c>
      <c r="D19" s="6">
        <v>14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" t="s">
        <v>23</v>
      </c>
      <c r="B20" s="6">
        <v>30</v>
      </c>
      <c r="C20" s="6">
        <v>14</v>
      </c>
      <c r="D20" s="6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" t="s">
        <v>24</v>
      </c>
      <c r="B21" s="6">
        <v>40</v>
      </c>
      <c r="C21" s="6">
        <v>40</v>
      </c>
      <c r="D21" s="6">
        <v>40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" t="s">
        <v>25</v>
      </c>
      <c r="B22" s="6">
        <v>20</v>
      </c>
      <c r="C22" s="6">
        <v>20</v>
      </c>
      <c r="D22" s="6">
        <v>20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" t="s">
        <v>26</v>
      </c>
      <c r="B23" s="4">
        <f>SUM(B19:B22)</f>
        <v>125</v>
      </c>
      <c r="C23" s="4">
        <f t="shared" ref="C23:D23" si="1">SUM(C19:C22)</f>
        <v>93</v>
      </c>
      <c r="D23" s="4">
        <f t="shared" si="1"/>
        <v>86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" t="s">
        <v>27</v>
      </c>
      <c r="B24" s="12">
        <f>B8/B23</f>
        <v>3.84</v>
      </c>
      <c r="C24" s="12">
        <f>B8/C23</f>
        <v>5.161290322580645</v>
      </c>
      <c r="D24" s="12">
        <f>B8/D23</f>
        <v>5.5813953488372094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" t="s">
        <v>28</v>
      </c>
      <c r="B25" s="12">
        <f>B24*$B$3</f>
        <v>115.19999999999999</v>
      </c>
      <c r="C25" s="12">
        <f>C24*$B$3</f>
        <v>154.83870967741936</v>
      </c>
      <c r="D25" s="12">
        <f>D24*$B$3</f>
        <v>167.44186046511629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" t="s">
        <v>29</v>
      </c>
      <c r="B26" s="12">
        <f>B2/2/$B$25</f>
        <v>2.604166666666667</v>
      </c>
      <c r="C26" s="12">
        <v>1.94</v>
      </c>
      <c r="D26" s="12">
        <v>1.79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2" t="s">
        <v>30</v>
      </c>
      <c r="B27" s="4">
        <f>(B17*$B$6)+(B17*$B$7)</f>
        <v>18.04</v>
      </c>
      <c r="C27" s="4">
        <f t="shared" ref="C27:D27" si="2">(C17*$B$6)+(C17*$B$7)</f>
        <v>16.399999999999999</v>
      </c>
      <c r="D27" s="4">
        <f t="shared" si="2"/>
        <v>12.3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4"/>
      <c r="C28" s="4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4"/>
      <c r="C29" s="4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4"/>
      <c r="C30" s="4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4"/>
      <c r="C31" s="4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4"/>
      <c r="C32" s="4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4"/>
      <c r="C33" s="4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4"/>
      <c r="C34" s="4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4"/>
      <c r="C35" s="4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4"/>
      <c r="C36" s="4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4"/>
      <c r="C37" s="4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4"/>
      <c r="C38" s="4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4"/>
      <c r="C39" s="4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4"/>
      <c r="C40" s="4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4"/>
      <c r="C41" s="4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4"/>
      <c r="C42" s="4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4"/>
      <c r="C43" s="4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4"/>
      <c r="C44" s="4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4"/>
      <c r="C45" s="4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4"/>
      <c r="C46" s="4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4"/>
      <c r="C47" s="4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4"/>
      <c r="C48" s="4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4"/>
      <c r="C49" s="4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4"/>
      <c r="C50" s="4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4"/>
      <c r="C51" s="4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4"/>
      <c r="C52" s="4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4"/>
      <c r="C53" s="4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4"/>
      <c r="C54" s="4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4"/>
      <c r="C55" s="4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4"/>
      <c r="C56" s="4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4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4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4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4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4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4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4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4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4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4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4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4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4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4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4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4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4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4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4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4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4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4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4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4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4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4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4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4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4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4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4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4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4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4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4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4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4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4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4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4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4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4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4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4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4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4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4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4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4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4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4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4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4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4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4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4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4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4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4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4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4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4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4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4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4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4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4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4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4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4"/>
      <c r="C249" s="4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4"/>
      <c r="C250" s="4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4"/>
      <c r="C251" s="4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4"/>
      <c r="C252" s="4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4"/>
      <c r="C253" s="4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4"/>
      <c r="C254" s="4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4"/>
      <c r="C255" s="4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4"/>
      <c r="C256" s="4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4"/>
      <c r="C257" s="4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4"/>
      <c r="C258" s="4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4"/>
      <c r="C259" s="4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4"/>
      <c r="C260" s="4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4"/>
      <c r="C261" s="4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4"/>
      <c r="C262" s="4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4"/>
      <c r="C263" s="4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4"/>
      <c r="C264" s="4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4"/>
      <c r="C265" s="4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4"/>
      <c r="C266" s="4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4"/>
      <c r="C267" s="4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4"/>
      <c r="C268" s="4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4"/>
      <c r="C269" s="4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4"/>
      <c r="C270" s="4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4"/>
      <c r="C271" s="4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4"/>
      <c r="C272" s="4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4"/>
      <c r="C273" s="4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4"/>
      <c r="C274" s="4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4"/>
      <c r="C275" s="4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4"/>
      <c r="C276" s="4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4"/>
      <c r="C277" s="4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4"/>
      <c r="C278" s="4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4"/>
      <c r="C279" s="4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4"/>
      <c r="C280" s="4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4"/>
      <c r="C281" s="4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4"/>
      <c r="C282" s="4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4"/>
      <c r="C283" s="4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4"/>
      <c r="C284" s="4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4"/>
      <c r="C285" s="4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4"/>
      <c r="C286" s="4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4"/>
      <c r="C287" s="4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4"/>
      <c r="C288" s="4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4"/>
      <c r="C289" s="4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4"/>
      <c r="C290" s="4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4"/>
      <c r="C291" s="4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4"/>
      <c r="C292" s="4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4"/>
      <c r="C293" s="4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4"/>
      <c r="C294" s="4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4"/>
      <c r="C295" s="4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4"/>
      <c r="C296" s="4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4"/>
      <c r="C297" s="4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4"/>
      <c r="C298" s="4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4"/>
      <c r="C299" s="4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4"/>
      <c r="C300" s="4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4"/>
      <c r="C301" s="4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4"/>
      <c r="C302" s="4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4"/>
      <c r="C303" s="4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4"/>
      <c r="C304" s="4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4"/>
      <c r="C305" s="4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4"/>
      <c r="C306" s="4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4"/>
      <c r="C307" s="4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4"/>
      <c r="C308" s="4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4"/>
      <c r="C309" s="4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4"/>
      <c r="C310" s="4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4"/>
      <c r="C311" s="4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4"/>
      <c r="C312" s="4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4"/>
      <c r="C313" s="4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4"/>
      <c r="C314" s="4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4"/>
      <c r="C315" s="4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4"/>
      <c r="C316" s="4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4"/>
      <c r="C317" s="4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4"/>
      <c r="C318" s="4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4"/>
      <c r="C319" s="4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4"/>
      <c r="C320" s="4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4"/>
      <c r="C321" s="4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4"/>
      <c r="C322" s="4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4"/>
      <c r="C323" s="4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4"/>
      <c r="C324" s="4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4"/>
      <c r="C325" s="4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4"/>
      <c r="C326" s="4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4"/>
      <c r="C327" s="4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4"/>
      <c r="C328" s="4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4"/>
      <c r="C329" s="4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4"/>
      <c r="C330" s="4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4"/>
      <c r="C331" s="4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4"/>
      <c r="C332" s="4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4"/>
      <c r="C333" s="4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4"/>
      <c r="C334" s="4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4"/>
      <c r="C335" s="4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4"/>
      <c r="C336" s="4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4"/>
      <c r="C337" s="4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4"/>
      <c r="C338" s="4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4"/>
      <c r="C339" s="4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4"/>
      <c r="C340" s="4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4"/>
      <c r="C341" s="4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4"/>
      <c r="C342" s="4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4"/>
      <c r="C343" s="4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4"/>
      <c r="C344" s="4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4"/>
      <c r="C345" s="4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4"/>
      <c r="C346" s="4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4"/>
      <c r="C347" s="4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4"/>
      <c r="C348" s="4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4"/>
      <c r="C349" s="4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4"/>
      <c r="C350" s="4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4"/>
      <c r="C351" s="4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4"/>
      <c r="C352" s="4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4"/>
      <c r="C353" s="4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4"/>
      <c r="C354" s="4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4"/>
      <c r="C355" s="4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4"/>
      <c r="C356" s="4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4"/>
      <c r="C357" s="4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4"/>
      <c r="C358" s="4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4"/>
      <c r="C359" s="4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4"/>
      <c r="C360" s="4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4"/>
      <c r="C361" s="4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4"/>
      <c r="C362" s="4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4"/>
      <c r="C363" s="4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4"/>
      <c r="C364" s="4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4"/>
      <c r="C365" s="4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4"/>
      <c r="C366" s="4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4"/>
      <c r="C367" s="4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4"/>
      <c r="C368" s="4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4"/>
      <c r="C369" s="4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4"/>
      <c r="C370" s="4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4"/>
      <c r="C371" s="4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4"/>
      <c r="C372" s="4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4"/>
      <c r="C373" s="4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4"/>
      <c r="C374" s="4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4"/>
      <c r="C375" s="4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4"/>
      <c r="C376" s="4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4"/>
      <c r="C377" s="4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4"/>
      <c r="C378" s="4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4"/>
      <c r="C379" s="4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4"/>
      <c r="C380" s="4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4"/>
      <c r="C381" s="4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4"/>
      <c r="C382" s="4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4"/>
      <c r="C383" s="4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4"/>
      <c r="C384" s="4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4"/>
      <c r="C385" s="4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4"/>
      <c r="C386" s="4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4"/>
      <c r="C387" s="4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4"/>
      <c r="C388" s="4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4"/>
      <c r="C389" s="4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4"/>
      <c r="C390" s="4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4"/>
      <c r="C391" s="4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4"/>
      <c r="C392" s="4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4"/>
      <c r="C393" s="4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4"/>
      <c r="C394" s="4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4"/>
      <c r="C395" s="4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4"/>
      <c r="C396" s="4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4"/>
      <c r="C397" s="4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4"/>
      <c r="C398" s="4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4"/>
      <c r="C399" s="4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4"/>
      <c r="C400" s="4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4"/>
      <c r="C401" s="4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4"/>
      <c r="C402" s="4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4"/>
      <c r="C403" s="4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4"/>
      <c r="C404" s="4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4"/>
      <c r="C405" s="4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4"/>
      <c r="C406" s="4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4"/>
      <c r="C407" s="4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4"/>
      <c r="C408" s="4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4"/>
      <c r="C409" s="4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4"/>
      <c r="C410" s="4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4"/>
      <c r="C411" s="4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4"/>
      <c r="C412" s="4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4"/>
      <c r="C413" s="4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4"/>
      <c r="C414" s="4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4"/>
      <c r="C415" s="4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4"/>
      <c r="C416" s="4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4"/>
      <c r="C417" s="4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4"/>
      <c r="C418" s="4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4"/>
      <c r="C419" s="4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4"/>
      <c r="C420" s="4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4"/>
      <c r="C421" s="4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4"/>
      <c r="C422" s="4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4"/>
      <c r="C423" s="4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4"/>
      <c r="C424" s="4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4"/>
      <c r="C425" s="4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4"/>
      <c r="C426" s="4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4"/>
      <c r="C427" s="4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4"/>
      <c r="C428" s="4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4"/>
      <c r="C429" s="4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4"/>
      <c r="C430" s="4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4"/>
      <c r="C431" s="4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4"/>
      <c r="C432" s="4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4"/>
      <c r="C433" s="4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4"/>
      <c r="C434" s="4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4"/>
      <c r="C435" s="4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4"/>
      <c r="C436" s="4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4"/>
      <c r="C437" s="4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4"/>
      <c r="C438" s="4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4"/>
      <c r="C439" s="4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4"/>
      <c r="C440" s="4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4"/>
      <c r="C441" s="4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4"/>
      <c r="C442" s="4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4"/>
      <c r="C443" s="4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4"/>
      <c r="C444" s="4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4"/>
      <c r="C445" s="4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4"/>
      <c r="C446" s="4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4"/>
      <c r="C447" s="4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4"/>
      <c r="C448" s="4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4"/>
      <c r="C449" s="4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4"/>
      <c r="C450" s="4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4"/>
      <c r="C451" s="4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4"/>
      <c r="C452" s="4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4"/>
      <c r="C453" s="4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4"/>
      <c r="C454" s="4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4"/>
      <c r="C455" s="4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4"/>
      <c r="C456" s="4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4"/>
      <c r="C457" s="4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4"/>
      <c r="C458" s="4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4"/>
      <c r="C459" s="4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4"/>
      <c r="C460" s="4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4"/>
      <c r="C461" s="4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4"/>
      <c r="C462" s="4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4"/>
      <c r="C463" s="4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4"/>
      <c r="C464" s="4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4"/>
      <c r="C465" s="4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4"/>
      <c r="C466" s="4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4"/>
      <c r="C467" s="4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4"/>
      <c r="C468" s="4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4"/>
      <c r="C469" s="4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4"/>
      <c r="C470" s="4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4"/>
      <c r="C471" s="4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4"/>
      <c r="C472" s="4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4"/>
      <c r="C473" s="4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4"/>
      <c r="C474" s="4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4"/>
      <c r="C475" s="4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4"/>
      <c r="C476" s="4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4"/>
      <c r="C477" s="4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4"/>
      <c r="C478" s="4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4"/>
      <c r="C479" s="4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4"/>
      <c r="C480" s="4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4"/>
      <c r="C481" s="4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4"/>
      <c r="C482" s="4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4"/>
      <c r="C483" s="4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4"/>
      <c r="C484" s="4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4"/>
      <c r="C485" s="4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4"/>
      <c r="C486" s="4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4"/>
      <c r="C487" s="4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4"/>
      <c r="C488" s="4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4"/>
      <c r="C489" s="4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4"/>
      <c r="C490" s="4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4"/>
      <c r="C491" s="4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4"/>
      <c r="C492" s="4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4"/>
      <c r="C493" s="4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4"/>
      <c r="C494" s="4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4"/>
      <c r="C495" s="4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4"/>
      <c r="C496" s="4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4"/>
      <c r="C497" s="4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4"/>
      <c r="C498" s="4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4"/>
      <c r="C499" s="4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4"/>
      <c r="C500" s="4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4"/>
      <c r="C501" s="4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4"/>
      <c r="C502" s="4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4"/>
      <c r="C503" s="4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4"/>
      <c r="C504" s="4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4"/>
      <c r="C505" s="4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4"/>
      <c r="C506" s="4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4"/>
      <c r="C507" s="4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4"/>
      <c r="C508" s="4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4"/>
      <c r="C509" s="4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4"/>
      <c r="C510" s="4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4"/>
      <c r="C511" s="4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4"/>
      <c r="C512" s="4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4"/>
      <c r="C513" s="4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4"/>
      <c r="C514" s="4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4"/>
      <c r="C515" s="4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4"/>
      <c r="C516" s="4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4"/>
      <c r="C517" s="4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4"/>
      <c r="C518" s="4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4"/>
      <c r="C519" s="4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4"/>
      <c r="C520" s="4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4"/>
      <c r="C521" s="4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4"/>
      <c r="C522" s="4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4"/>
      <c r="C523" s="4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4"/>
      <c r="C524" s="4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4"/>
      <c r="C525" s="4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4"/>
      <c r="C526" s="4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4"/>
      <c r="C527" s="4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4"/>
      <c r="C528" s="4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4"/>
      <c r="C529" s="4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4"/>
      <c r="C530" s="4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4"/>
      <c r="C531" s="4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4"/>
      <c r="C532" s="4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4"/>
      <c r="C533" s="4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4"/>
      <c r="C534" s="4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4"/>
      <c r="C535" s="4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4"/>
      <c r="C536" s="4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4"/>
      <c r="C537" s="4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4"/>
      <c r="C538" s="4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4"/>
      <c r="C539" s="4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4"/>
      <c r="C540" s="4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4"/>
      <c r="C541" s="4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4"/>
      <c r="C542" s="4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4"/>
      <c r="C543" s="4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4"/>
      <c r="C544" s="4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4"/>
      <c r="C545" s="4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4"/>
      <c r="C546" s="4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4"/>
      <c r="C547" s="4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4"/>
      <c r="C548" s="4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4"/>
      <c r="C549" s="4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4"/>
      <c r="C550" s="4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4"/>
      <c r="C551" s="4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4"/>
      <c r="C552" s="4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4"/>
      <c r="C553" s="4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4"/>
      <c r="C554" s="4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4"/>
      <c r="C555" s="4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4"/>
      <c r="C556" s="4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4"/>
      <c r="C557" s="4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4"/>
      <c r="C558" s="4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4"/>
      <c r="C559" s="4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4"/>
      <c r="C560" s="4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4"/>
      <c r="C561" s="4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4"/>
      <c r="C562" s="4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4"/>
      <c r="C563" s="4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4"/>
      <c r="C564" s="4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4"/>
      <c r="C565" s="4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4"/>
      <c r="C566" s="4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4"/>
      <c r="C567" s="4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4"/>
      <c r="C568" s="4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4"/>
      <c r="C569" s="4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4"/>
      <c r="C570" s="4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4"/>
      <c r="C571" s="4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4"/>
      <c r="C572" s="4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4"/>
      <c r="C573" s="4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4"/>
      <c r="C574" s="4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4"/>
      <c r="C575" s="4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4"/>
      <c r="C576" s="4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4"/>
      <c r="C577" s="4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4"/>
      <c r="C578" s="4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4"/>
      <c r="C579" s="4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4"/>
      <c r="C580" s="4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4"/>
      <c r="C581" s="4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4"/>
      <c r="C582" s="4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4"/>
      <c r="C583" s="4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4"/>
      <c r="C584" s="4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4"/>
      <c r="C585" s="4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4"/>
      <c r="C586" s="4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4"/>
      <c r="C587" s="4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4"/>
      <c r="C588" s="4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4"/>
      <c r="C589" s="4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4"/>
      <c r="C590" s="4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4"/>
      <c r="C591" s="4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4"/>
      <c r="C592" s="4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4"/>
      <c r="C593" s="4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4"/>
      <c r="C594" s="4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4"/>
      <c r="C595" s="4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4"/>
      <c r="C596" s="4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4"/>
      <c r="C597" s="4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4"/>
      <c r="C598" s="4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4"/>
      <c r="C599" s="4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4"/>
      <c r="C600" s="4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4"/>
      <c r="C601" s="4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4"/>
      <c r="C602" s="4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4"/>
      <c r="C603" s="4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4"/>
      <c r="C604" s="4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4"/>
      <c r="C605" s="4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4"/>
      <c r="C606" s="4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4"/>
      <c r="C607" s="4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4"/>
      <c r="C608" s="4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4"/>
      <c r="C609" s="4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4"/>
      <c r="C610" s="4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4"/>
      <c r="C611" s="4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4"/>
      <c r="C612" s="4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4"/>
      <c r="C613" s="4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4"/>
      <c r="C614" s="4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4"/>
      <c r="C615" s="4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4"/>
      <c r="C616" s="4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4"/>
      <c r="C617" s="4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4"/>
      <c r="C618" s="4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4"/>
      <c r="C619" s="4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4"/>
      <c r="C620" s="4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4"/>
      <c r="C621" s="4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4"/>
      <c r="C622" s="4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4"/>
      <c r="C623" s="4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4"/>
      <c r="C624" s="4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4"/>
      <c r="C625" s="4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4"/>
      <c r="C626" s="4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4"/>
      <c r="C627" s="4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4"/>
      <c r="C628" s="4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4"/>
      <c r="C629" s="4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4"/>
      <c r="C630" s="4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4"/>
      <c r="C631" s="4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4"/>
      <c r="C632" s="4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4"/>
      <c r="C633" s="4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4"/>
      <c r="C634" s="4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4"/>
      <c r="C635" s="4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4"/>
      <c r="C636" s="4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4"/>
      <c r="C637" s="4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4"/>
      <c r="C638" s="4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4"/>
      <c r="C639" s="4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4"/>
      <c r="C640" s="4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4"/>
      <c r="C641" s="4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4"/>
      <c r="C642" s="4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4"/>
      <c r="C643" s="4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4"/>
      <c r="C644" s="4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4"/>
      <c r="C645" s="4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4"/>
      <c r="C646" s="4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4"/>
      <c r="C647" s="4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4"/>
      <c r="C648" s="4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4"/>
      <c r="C649" s="4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4"/>
      <c r="C650" s="4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4"/>
      <c r="C651" s="4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4"/>
      <c r="C652" s="4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4"/>
      <c r="C653" s="4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4"/>
      <c r="C654" s="4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4"/>
      <c r="C655" s="4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4"/>
      <c r="C656" s="4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4"/>
      <c r="C657" s="4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4"/>
      <c r="C658" s="4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4"/>
      <c r="C659" s="4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4"/>
      <c r="C660" s="4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4"/>
      <c r="C661" s="4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4"/>
      <c r="C662" s="4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4"/>
      <c r="C663" s="4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4"/>
      <c r="C664" s="4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4"/>
      <c r="C665" s="4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4"/>
      <c r="C666" s="4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4"/>
      <c r="C667" s="4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4"/>
      <c r="C668" s="4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4"/>
      <c r="C669" s="4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4"/>
      <c r="C670" s="4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4"/>
      <c r="C671" s="4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4"/>
      <c r="C672" s="4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4"/>
      <c r="C673" s="4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4"/>
      <c r="C674" s="4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4"/>
      <c r="C675" s="4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4"/>
      <c r="C676" s="4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4"/>
      <c r="C677" s="4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4"/>
      <c r="C678" s="4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4"/>
      <c r="C679" s="4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4"/>
      <c r="C680" s="4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4"/>
      <c r="C681" s="4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4"/>
      <c r="C682" s="4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4"/>
      <c r="C683" s="4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4"/>
      <c r="C684" s="4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4"/>
      <c r="C685" s="4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4"/>
      <c r="C686" s="4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4"/>
      <c r="C687" s="4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4"/>
      <c r="C688" s="4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4"/>
      <c r="C689" s="4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4"/>
      <c r="C690" s="4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4"/>
      <c r="C691" s="4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4"/>
      <c r="C692" s="4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4"/>
      <c r="C693" s="4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4"/>
      <c r="C694" s="4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4"/>
      <c r="C695" s="4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4"/>
      <c r="C696" s="4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4"/>
      <c r="C697" s="4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4"/>
      <c r="C698" s="4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4"/>
      <c r="C699" s="4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4"/>
      <c r="C700" s="4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4"/>
      <c r="C701" s="4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4"/>
      <c r="C702" s="4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4"/>
      <c r="C703" s="4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4"/>
      <c r="C704" s="4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4"/>
      <c r="C705" s="4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4"/>
      <c r="C706" s="4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4"/>
      <c r="C707" s="4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4"/>
      <c r="C708" s="4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4"/>
      <c r="C709" s="4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4"/>
      <c r="C710" s="4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4"/>
      <c r="C711" s="4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4"/>
      <c r="C712" s="4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4"/>
      <c r="C713" s="4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4"/>
      <c r="C714" s="4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4"/>
      <c r="C715" s="4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4"/>
      <c r="C716" s="4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4"/>
      <c r="C717" s="4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4"/>
      <c r="C718" s="4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4"/>
      <c r="C719" s="4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4"/>
      <c r="C720" s="4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4"/>
      <c r="C721" s="4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4"/>
      <c r="C722" s="4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4"/>
      <c r="C723" s="4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4"/>
      <c r="C724" s="4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4"/>
      <c r="C725" s="4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4"/>
      <c r="C726" s="4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4"/>
      <c r="C727" s="4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4"/>
      <c r="C728" s="4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4"/>
      <c r="C729" s="4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4"/>
      <c r="C730" s="4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4"/>
      <c r="C731" s="4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4"/>
      <c r="C732" s="4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4"/>
      <c r="C733" s="4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4"/>
      <c r="C734" s="4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4"/>
      <c r="C735" s="4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4"/>
      <c r="C736" s="4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4"/>
      <c r="C737" s="4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4"/>
      <c r="C738" s="4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4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4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4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4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4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4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4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4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4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4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4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4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4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4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4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4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4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4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4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4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4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4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4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4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4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4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4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4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4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4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4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4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4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4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4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4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4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4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4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4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4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4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4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4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4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4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4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4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4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4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4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4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4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4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4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4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4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4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4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4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4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4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4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4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4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4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4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4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4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4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4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4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4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4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4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4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4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4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4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4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4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4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4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4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4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4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4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4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4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4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4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4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4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4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4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4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4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4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4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4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4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4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4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4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4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4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4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4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4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4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4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4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4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4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4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4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4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4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4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4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4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4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4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4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4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4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4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4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4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4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4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4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4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4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4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4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4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4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4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4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4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4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4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4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4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4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4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4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4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4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4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4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4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4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4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4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4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4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4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4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4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4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4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4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4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4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4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4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4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4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4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4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4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4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4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4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4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4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4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4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4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4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4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4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4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4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4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4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4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4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4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4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4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4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4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4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4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4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4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4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4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4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4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4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4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4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4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4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4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4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4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4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4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4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4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4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4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4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4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4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4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4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4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4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4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4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4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4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4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4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4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4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4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4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4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4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4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4"/>
      <c r="C976" s="4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4"/>
      <c r="C977" s="4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4"/>
      <c r="C978" s="4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4"/>
      <c r="C979" s="4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4"/>
      <c r="C980" s="4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4"/>
      <c r="C981" s="4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4"/>
      <c r="C982" s="4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4"/>
      <c r="C983" s="4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4"/>
      <c r="C984" s="4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4"/>
      <c r="C985" s="4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4"/>
      <c r="C986" s="4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4"/>
      <c r="C987" s="4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4"/>
      <c r="C988" s="4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4"/>
      <c r="C989" s="4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4"/>
      <c r="C990" s="4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4"/>
      <c r="C991" s="4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4"/>
      <c r="C992" s="4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4"/>
      <c r="C993" s="4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4"/>
      <c r="C994" s="4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4"/>
      <c r="C995" s="4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4"/>
      <c r="C996" s="4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4"/>
      <c r="C997" s="4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4"/>
      <c r="C998" s="4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4"/>
      <c r="C999" s="4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4"/>
      <c r="C1000" s="4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4"/>
      <c r="C1001" s="4"/>
      <c r="D1001" s="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1"/>
  <sheetViews>
    <sheetView workbookViewId="0"/>
  </sheetViews>
  <sheetFormatPr baseColWidth="10" defaultRowHeight="16"/>
  <cols>
    <col min="1" max="1" width="19.5" customWidth="1"/>
  </cols>
  <sheetData>
    <row r="1" spans="1: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36</v>
      </c>
      <c r="B2" s="3">
        <v>21</v>
      </c>
      <c r="C2" s="3">
        <v>5</v>
      </c>
      <c r="D2" s="3">
        <v>2</v>
      </c>
      <c r="E2" s="3">
        <f>B2*C2*D2</f>
        <v>210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2" t="s">
        <v>37</v>
      </c>
      <c r="B3" s="3">
        <v>22</v>
      </c>
      <c r="C3" s="3">
        <v>5</v>
      </c>
      <c r="D3" s="3">
        <v>2</v>
      </c>
      <c r="E3" s="3">
        <f t="shared" ref="E3:E7" si="0">B3*C3*D3</f>
        <v>220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2" t="s">
        <v>38</v>
      </c>
      <c r="B4" s="3">
        <v>6</v>
      </c>
      <c r="C4" s="3">
        <v>2</v>
      </c>
      <c r="D4" s="3">
        <v>1</v>
      </c>
      <c r="E4" s="3">
        <f t="shared" si="0"/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2" t="s">
        <v>39</v>
      </c>
      <c r="B5" s="3">
        <v>1</v>
      </c>
      <c r="C5" s="3">
        <v>5</v>
      </c>
      <c r="D5" s="3">
        <v>1</v>
      </c>
      <c r="E5" s="3">
        <f t="shared" si="0"/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2" t="s">
        <v>40</v>
      </c>
      <c r="B6" s="3">
        <v>4</v>
      </c>
      <c r="C6" s="3">
        <v>10</v>
      </c>
      <c r="D6" s="3">
        <v>2</v>
      </c>
      <c r="E6" s="3">
        <f t="shared" si="0"/>
        <v>80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" t="s">
        <v>41</v>
      </c>
      <c r="B7" s="3">
        <v>4</v>
      </c>
      <c r="C7" s="3">
        <v>10</v>
      </c>
      <c r="D7" s="3">
        <v>2</v>
      </c>
      <c r="E7" s="3">
        <f t="shared" si="0"/>
        <v>80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/>
      <c r="B8" s="1"/>
      <c r="C8" s="1"/>
      <c r="D8" s="1"/>
      <c r="E8" s="1">
        <f>SUM(E2:E7)</f>
        <v>607</v>
      </c>
      <c r="F8" s="2" t="s">
        <v>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/>
      <c r="B12" s="2" t="s">
        <v>35</v>
      </c>
      <c r="C12" s="2" t="s">
        <v>43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2" t="s">
        <v>44</v>
      </c>
      <c r="B13" s="29">
        <f>'RESPALDO RESIDUOS'!C4</f>
        <v>444.86</v>
      </c>
      <c r="C13" s="9">
        <f>B13/$B$16</f>
        <v>0.73256924546322821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2" t="s">
        <v>40</v>
      </c>
      <c r="B14" s="29">
        <f>'RESPALDO RESIDUOS'!F4</f>
        <v>81.569999999999993</v>
      </c>
      <c r="C14" s="9">
        <f t="shared" ref="C14:C15" si="1">B14/$B$16</f>
        <v>0.13432467147515065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2" t="s">
        <v>45</v>
      </c>
      <c r="B15" s="29">
        <f>'RESPALDO RESIDUOS'!I4</f>
        <v>80.83</v>
      </c>
      <c r="C15" s="9">
        <f t="shared" si="1"/>
        <v>0.13310608306162103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2" t="s">
        <v>42</v>
      </c>
      <c r="B16" s="29">
        <f>SUM(B13:B15)</f>
        <v>607.2600000000001</v>
      </c>
      <c r="C16" s="9">
        <f>SUM(C13:C15)</f>
        <v>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workbookViewId="0"/>
  </sheetViews>
  <sheetFormatPr baseColWidth="10" defaultRowHeight="16"/>
  <cols>
    <col min="1" max="1" width="25.1640625" customWidth="1"/>
    <col min="2" max="2" width="19.83203125" style="8" customWidth="1"/>
    <col min="3" max="3" width="67.6640625" customWidth="1"/>
  </cols>
  <sheetData>
    <row r="1" spans="1:26">
      <c r="A1" s="2" t="s">
        <v>46</v>
      </c>
      <c r="B1" s="7" t="s">
        <v>47</v>
      </c>
      <c r="C1" s="2" t="s">
        <v>48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49</v>
      </c>
      <c r="B2" s="6">
        <v>600</v>
      </c>
      <c r="C2" s="3" t="s">
        <v>50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6">
        <v>30</v>
      </c>
      <c r="C3" s="3" t="s">
        <v>51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4</v>
      </c>
      <c r="B4" s="6" t="s">
        <v>52</v>
      </c>
      <c r="C4" s="3" t="s">
        <v>53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6</v>
      </c>
      <c r="B5" s="6" t="s">
        <v>54</v>
      </c>
      <c r="C5" s="3" t="s">
        <v>55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56</v>
      </c>
      <c r="B6" s="6" t="s">
        <v>57</v>
      </c>
      <c r="C6" s="3" t="s">
        <v>58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" t="s">
        <v>59</v>
      </c>
      <c r="B7" s="6" t="s">
        <v>60</v>
      </c>
      <c r="C7" s="3" t="s">
        <v>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" t="s">
        <v>7</v>
      </c>
      <c r="B8" s="6" t="s">
        <v>62</v>
      </c>
      <c r="C8" s="3" t="s">
        <v>63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" t="s">
        <v>9</v>
      </c>
      <c r="B9" s="6" t="s">
        <v>64</v>
      </c>
      <c r="C9" s="3" t="s">
        <v>65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" t="s">
        <v>66</v>
      </c>
      <c r="B10" s="6" t="s">
        <v>67</v>
      </c>
      <c r="C10" s="3" t="s">
        <v>68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 t="s">
        <v>69</v>
      </c>
      <c r="B11" s="6" t="s">
        <v>70</v>
      </c>
      <c r="C11" s="3" t="s">
        <v>71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" t="s">
        <v>10</v>
      </c>
      <c r="B12" s="6" t="s">
        <v>72</v>
      </c>
      <c r="C12" s="3" t="s">
        <v>73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A2"/>
    </sheetView>
  </sheetViews>
  <sheetFormatPr baseColWidth="10" defaultRowHeight="16"/>
  <cols>
    <col min="1" max="12" width="12.6640625" customWidth="1"/>
  </cols>
  <sheetData>
    <row r="1" spans="1:26">
      <c r="A1" s="40" t="s">
        <v>74</v>
      </c>
      <c r="B1" s="40" t="s">
        <v>44</v>
      </c>
      <c r="C1" s="42"/>
      <c r="D1" s="43"/>
      <c r="E1" s="40" t="s">
        <v>75</v>
      </c>
      <c r="F1" s="42"/>
      <c r="G1" s="43"/>
      <c r="H1" s="40" t="s">
        <v>76</v>
      </c>
      <c r="I1" s="42"/>
      <c r="J1" s="43"/>
      <c r="K1" s="42" t="s">
        <v>77</v>
      </c>
      <c r="L1" s="43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1"/>
    </row>
    <row r="2" spans="1:26">
      <c r="A2" s="41"/>
      <c r="B2" s="28" t="s">
        <v>78</v>
      </c>
      <c r="C2" s="25" t="s">
        <v>79</v>
      </c>
      <c r="D2" s="26" t="s">
        <v>43</v>
      </c>
      <c r="E2" s="28" t="s">
        <v>78</v>
      </c>
      <c r="F2" s="25" t="s">
        <v>79</v>
      </c>
      <c r="G2" s="26" t="s">
        <v>43</v>
      </c>
      <c r="H2" s="28" t="s">
        <v>78</v>
      </c>
      <c r="I2" s="25" t="s">
        <v>79</v>
      </c>
      <c r="J2" s="26" t="s">
        <v>43</v>
      </c>
      <c r="K2" s="27" t="s">
        <v>78</v>
      </c>
      <c r="L2" s="26" t="s">
        <v>79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spans="1:26">
      <c r="A3" s="13">
        <v>2020</v>
      </c>
      <c r="B3" s="14">
        <v>429026</v>
      </c>
      <c r="C3" s="15">
        <v>429.02</v>
      </c>
      <c r="D3" s="16">
        <f>C3/L3</f>
        <v>0.77324585909197407</v>
      </c>
      <c r="E3" s="14">
        <v>76253</v>
      </c>
      <c r="F3" s="15">
        <v>76.25</v>
      </c>
      <c r="G3" s="16">
        <f>F3/L3</f>
        <v>0.13742948290467349</v>
      </c>
      <c r="H3" s="14">
        <v>49567</v>
      </c>
      <c r="I3" s="15">
        <v>49.56</v>
      </c>
      <c r="J3" s="16">
        <f>I3/L3</f>
        <v>8.9324658003352375E-2</v>
      </c>
      <c r="K3" s="17">
        <v>554846</v>
      </c>
      <c r="L3" s="18">
        <v>554.83000000000004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3">
        <v>2026</v>
      </c>
      <c r="B4" s="14">
        <v>444865</v>
      </c>
      <c r="C4" s="15">
        <v>444.86</v>
      </c>
      <c r="D4" s="16">
        <f t="shared" ref="D4:D8" si="0">C4/L4</f>
        <v>0.73258130918073283</v>
      </c>
      <c r="E4" s="14">
        <v>81570</v>
      </c>
      <c r="F4" s="15">
        <v>81.569999999999993</v>
      </c>
      <c r="G4" s="16">
        <f t="shared" ref="G4:G8" si="1">F4/L4</f>
        <v>0.1343268834911486</v>
      </c>
      <c r="H4" s="14">
        <v>80830</v>
      </c>
      <c r="I4" s="15">
        <v>80.83</v>
      </c>
      <c r="J4" s="16">
        <f t="shared" ref="J4:J8" si="2">I4/L4</f>
        <v>0.13310827501029229</v>
      </c>
      <c r="K4" s="17">
        <v>607266</v>
      </c>
      <c r="L4" s="18">
        <v>607.25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3">
        <v>2030</v>
      </c>
      <c r="B5" s="14">
        <v>455425</v>
      </c>
      <c r="C5" s="15">
        <v>455.42</v>
      </c>
      <c r="D5" s="16">
        <f t="shared" si="0"/>
        <v>0.70915602616007467</v>
      </c>
      <c r="E5" s="14">
        <v>85115</v>
      </c>
      <c r="F5" s="15">
        <v>85.11</v>
      </c>
      <c r="G5" s="16">
        <f t="shared" si="1"/>
        <v>0.1325288072251635</v>
      </c>
      <c r="H5" s="14">
        <v>101672</v>
      </c>
      <c r="I5" s="15">
        <v>101.67</v>
      </c>
      <c r="J5" s="16">
        <f t="shared" si="2"/>
        <v>0.15831516661476175</v>
      </c>
      <c r="K5" s="17">
        <v>642212</v>
      </c>
      <c r="L5" s="18">
        <v>642.20000000000005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3">
        <v>2040</v>
      </c>
      <c r="B6" s="14">
        <v>478010</v>
      </c>
      <c r="C6" s="15">
        <v>478.01</v>
      </c>
      <c r="D6" s="16">
        <f t="shared" si="0"/>
        <v>0.69623922162666052</v>
      </c>
      <c r="E6" s="14">
        <v>94010</v>
      </c>
      <c r="F6" s="15">
        <v>94.01</v>
      </c>
      <c r="G6" s="16">
        <f t="shared" si="1"/>
        <v>0.13692903752039154</v>
      </c>
      <c r="H6" s="14">
        <v>114546</v>
      </c>
      <c r="I6" s="15">
        <v>114.54</v>
      </c>
      <c r="J6" s="16">
        <f t="shared" si="2"/>
        <v>0.16683174085294805</v>
      </c>
      <c r="K6" s="17">
        <v>686566</v>
      </c>
      <c r="L6" s="18">
        <v>686.56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3">
        <v>2050</v>
      </c>
      <c r="B7" s="14">
        <v>496713</v>
      </c>
      <c r="C7" s="15">
        <v>496.71</v>
      </c>
      <c r="D7" s="16">
        <f t="shared" si="0"/>
        <v>0.68285675006873792</v>
      </c>
      <c r="E7" s="14">
        <v>102917</v>
      </c>
      <c r="F7" s="15">
        <v>102.91</v>
      </c>
      <c r="G7" s="16">
        <f t="shared" si="1"/>
        <v>0.14147649161396755</v>
      </c>
      <c r="H7" s="14">
        <v>127786</v>
      </c>
      <c r="I7" s="15">
        <v>127.78</v>
      </c>
      <c r="J7" s="16">
        <f t="shared" si="2"/>
        <v>0.17566675831729447</v>
      </c>
      <c r="K7" s="17">
        <v>727416</v>
      </c>
      <c r="L7" s="18">
        <v>727.4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9">
        <v>2060</v>
      </c>
      <c r="B8" s="20">
        <v>511536</v>
      </c>
      <c r="C8" s="21">
        <v>511.53</v>
      </c>
      <c r="D8" s="22">
        <f t="shared" si="0"/>
        <v>0.66851810708731396</v>
      </c>
      <c r="E8" s="20">
        <v>111839</v>
      </c>
      <c r="F8" s="21">
        <v>111.83</v>
      </c>
      <c r="G8" s="22">
        <f t="shared" si="1"/>
        <v>0.14615052864069422</v>
      </c>
      <c r="H8" s="20">
        <v>141815</v>
      </c>
      <c r="I8" s="21">
        <v>141.81</v>
      </c>
      <c r="J8" s="22">
        <f t="shared" si="2"/>
        <v>0.18533136427199184</v>
      </c>
      <c r="K8" s="23">
        <v>765190</v>
      </c>
      <c r="L8" s="24">
        <v>765.17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A2"/>
    <mergeCell ref="K1:L1"/>
    <mergeCell ref="H1:J1"/>
    <mergeCell ref="E1:G1"/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baseColWidth="10" defaultRowHeight="16"/>
  <sheetData>
    <row r="1" spans="1:4">
      <c r="A1" s="32" t="s">
        <v>12</v>
      </c>
      <c r="B1" s="32" t="s">
        <v>80</v>
      </c>
      <c r="C1" s="32" t="s">
        <v>81</v>
      </c>
      <c r="D1" s="32" t="s">
        <v>82</v>
      </c>
    </row>
    <row r="2" spans="1:4">
      <c r="A2" t="s">
        <v>44</v>
      </c>
      <c r="B2">
        <v>444.83</v>
      </c>
      <c r="C2" s="33">
        <v>0.73260000000000003</v>
      </c>
      <c r="D2">
        <v>586.05999999999995</v>
      </c>
    </row>
    <row r="3" spans="1:4">
      <c r="A3" t="s">
        <v>75</v>
      </c>
      <c r="B3">
        <v>81.53</v>
      </c>
      <c r="C3" s="33">
        <v>0.1343</v>
      </c>
      <c r="D3">
        <v>107.46</v>
      </c>
    </row>
    <row r="4" spans="1:4">
      <c r="A4" t="s">
        <v>45</v>
      </c>
      <c r="B4">
        <v>80.8</v>
      </c>
      <c r="C4" s="33">
        <v>0.1331</v>
      </c>
      <c r="D4">
        <v>106.48</v>
      </c>
    </row>
    <row r="9" spans="1:4">
      <c r="A9" t="s">
        <v>83</v>
      </c>
    </row>
    <row r="10" spans="1:4">
      <c r="A10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/>
  </sheetViews>
  <sheetFormatPr baseColWidth="10" defaultRowHeight="16"/>
  <cols>
    <col min="2" max="2" width="20.6640625" customWidth="1"/>
    <col min="3" max="4" width="13.33203125" customWidth="1"/>
  </cols>
  <sheetData>
    <row r="1" spans="1:8">
      <c r="A1" s="32" t="s">
        <v>85</v>
      </c>
      <c r="B1" s="32" t="s">
        <v>86</v>
      </c>
      <c r="C1" s="32" t="s">
        <v>87</v>
      </c>
      <c r="D1" s="32" t="s">
        <v>88</v>
      </c>
      <c r="E1" s="32" t="s">
        <v>89</v>
      </c>
      <c r="F1" s="32" t="s">
        <v>90</v>
      </c>
      <c r="G1" s="32" t="s">
        <v>91</v>
      </c>
      <c r="H1" s="32" t="s">
        <v>92</v>
      </c>
    </row>
    <row r="2" spans="1:8">
      <c r="A2" t="s">
        <v>93</v>
      </c>
      <c r="B2" t="s">
        <v>94</v>
      </c>
      <c r="C2" t="s">
        <v>13</v>
      </c>
      <c r="D2" t="s">
        <v>95</v>
      </c>
      <c r="E2">
        <v>100</v>
      </c>
      <c r="F2" s="6">
        <v>-31.6</v>
      </c>
      <c r="G2" s="6">
        <v>-60.75</v>
      </c>
      <c r="H2" t="s">
        <v>96</v>
      </c>
    </row>
    <row r="3" spans="1:8">
      <c r="A3" t="s">
        <v>97</v>
      </c>
      <c r="B3" t="s">
        <v>75</v>
      </c>
      <c r="C3" t="s">
        <v>13</v>
      </c>
      <c r="D3" t="s">
        <v>95</v>
      </c>
      <c r="E3">
        <v>100</v>
      </c>
      <c r="F3" s="35">
        <v>-31.66</v>
      </c>
      <c r="G3" s="35">
        <v>-60.76</v>
      </c>
      <c r="H3" t="s">
        <v>96</v>
      </c>
    </row>
    <row r="4" spans="1:8">
      <c r="A4" t="s">
        <v>98</v>
      </c>
      <c r="B4" t="s">
        <v>99</v>
      </c>
      <c r="C4" t="s">
        <v>13</v>
      </c>
      <c r="D4" t="s">
        <v>100</v>
      </c>
      <c r="E4">
        <v>50</v>
      </c>
      <c r="F4" s="35">
        <v>-31.49</v>
      </c>
      <c r="G4" s="35">
        <v>-60.73</v>
      </c>
      <c r="H4" t="s">
        <v>96</v>
      </c>
    </row>
    <row r="5" spans="1:8">
      <c r="A5" t="s">
        <v>101</v>
      </c>
      <c r="B5" t="s">
        <v>102</v>
      </c>
      <c r="C5" t="s">
        <v>13</v>
      </c>
      <c r="D5" t="s">
        <v>100</v>
      </c>
      <c r="E5">
        <v>50</v>
      </c>
      <c r="F5" s="35">
        <v>-31.6</v>
      </c>
      <c r="G5" s="35">
        <v>-60.56</v>
      </c>
      <c r="H5" t="s">
        <v>96</v>
      </c>
    </row>
    <row r="6" spans="1:8">
      <c r="A6" t="s">
        <v>103</v>
      </c>
      <c r="B6" t="s">
        <v>104</v>
      </c>
      <c r="C6" t="s">
        <v>105</v>
      </c>
      <c r="D6" t="s">
        <v>106</v>
      </c>
      <c r="E6">
        <v>100</v>
      </c>
      <c r="F6" s="6">
        <v>-31.6</v>
      </c>
      <c r="G6" s="6">
        <v>-60.75</v>
      </c>
      <c r="H6" t="s">
        <v>96</v>
      </c>
    </row>
    <row r="7" spans="1:8">
      <c r="A7" t="s">
        <v>107</v>
      </c>
      <c r="B7" t="s">
        <v>108</v>
      </c>
      <c r="C7" t="s">
        <v>109</v>
      </c>
      <c r="D7" t="s">
        <v>106</v>
      </c>
      <c r="E7">
        <v>800</v>
      </c>
      <c r="F7" s="35">
        <v>-31.59</v>
      </c>
      <c r="G7" s="35">
        <v>-60.87</v>
      </c>
      <c r="H7" t="s">
        <v>110</v>
      </c>
    </row>
    <row r="8" spans="1:8">
      <c r="A8" t="s">
        <v>111</v>
      </c>
      <c r="B8" t="s">
        <v>112</v>
      </c>
      <c r="C8" t="s">
        <v>109</v>
      </c>
      <c r="D8" t="s">
        <v>106</v>
      </c>
      <c r="E8">
        <v>800</v>
      </c>
      <c r="F8" s="35">
        <v>-31.54</v>
      </c>
      <c r="G8" s="35">
        <v>-60.81</v>
      </c>
      <c r="H8" t="s">
        <v>110</v>
      </c>
    </row>
    <row r="9" spans="1:8">
      <c r="A9" t="s">
        <v>113</v>
      </c>
      <c r="B9" t="s">
        <v>114</v>
      </c>
      <c r="C9" t="s">
        <v>109</v>
      </c>
      <c r="D9" t="s">
        <v>106</v>
      </c>
      <c r="E9">
        <v>800</v>
      </c>
      <c r="F9" s="35">
        <v>-31.76</v>
      </c>
      <c r="G9" s="35">
        <v>-60.83</v>
      </c>
      <c r="H9" t="s">
        <v>110</v>
      </c>
    </row>
    <row r="14" spans="1:8">
      <c r="A14" s="32"/>
      <c r="B14" s="32"/>
      <c r="C14" s="32"/>
      <c r="D14" s="32"/>
    </row>
    <row r="15" spans="1:8">
      <c r="C15" s="34"/>
      <c r="D15" s="34"/>
    </row>
    <row r="16" spans="1:8">
      <c r="C16" s="34"/>
      <c r="D16" s="34"/>
    </row>
    <row r="17" spans="3:4">
      <c r="C17" s="34"/>
      <c r="D17" s="34"/>
    </row>
    <row r="18" spans="3:4">
      <c r="C18" s="34"/>
      <c r="D18" s="34"/>
    </row>
    <row r="19" spans="3:4">
      <c r="C19" s="34"/>
      <c r="D19" s="34"/>
    </row>
    <row r="20" spans="3:4">
      <c r="C20" s="34"/>
      <c r="D20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baseColWidth="10" defaultRowHeight="16"/>
  <sheetData>
    <row r="1" spans="1:5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</row>
    <row r="2" spans="1:5">
      <c r="A2" t="s">
        <v>120</v>
      </c>
      <c r="B2">
        <v>600</v>
      </c>
      <c r="C2">
        <v>600</v>
      </c>
      <c r="D2">
        <v>0</v>
      </c>
      <c r="E2">
        <v>0</v>
      </c>
    </row>
    <row r="3" spans="1:5">
      <c r="A3" t="s">
        <v>121</v>
      </c>
      <c r="B3">
        <v>800</v>
      </c>
      <c r="C3">
        <v>800</v>
      </c>
      <c r="D3">
        <v>0</v>
      </c>
      <c r="E3">
        <v>0</v>
      </c>
    </row>
    <row r="4" spans="1:5">
      <c r="A4" t="s">
        <v>122</v>
      </c>
      <c r="B4">
        <v>800</v>
      </c>
      <c r="C4">
        <v>500</v>
      </c>
      <c r="D4">
        <v>300</v>
      </c>
      <c r="E4">
        <v>0</v>
      </c>
    </row>
    <row r="5" spans="1:5">
      <c r="A5" t="s">
        <v>123</v>
      </c>
      <c r="B5">
        <v>800</v>
      </c>
      <c r="C5">
        <v>400</v>
      </c>
      <c r="D5">
        <v>300</v>
      </c>
      <c r="E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baseColWidth="10" defaultRowHeight="16"/>
  <sheetData>
    <row r="1" spans="1:5">
      <c r="A1" s="32" t="s">
        <v>115</v>
      </c>
      <c r="B1" s="32" t="s">
        <v>124</v>
      </c>
      <c r="C1" s="32" t="s">
        <v>16</v>
      </c>
      <c r="D1" s="32" t="s">
        <v>87</v>
      </c>
      <c r="E1" s="32" t="s">
        <v>125</v>
      </c>
    </row>
    <row r="2" spans="1:5">
      <c r="A2" t="s">
        <v>122</v>
      </c>
      <c r="B2" t="s">
        <v>93</v>
      </c>
      <c r="C2" t="s">
        <v>94</v>
      </c>
      <c r="D2" t="s">
        <v>126</v>
      </c>
      <c r="E2">
        <v>100</v>
      </c>
    </row>
    <row r="3" spans="1:5">
      <c r="A3" t="s">
        <v>122</v>
      </c>
      <c r="B3" t="s">
        <v>97</v>
      </c>
      <c r="C3" t="s">
        <v>75</v>
      </c>
      <c r="D3" t="s">
        <v>126</v>
      </c>
      <c r="E3">
        <v>100</v>
      </c>
    </row>
    <row r="4" spans="1:5">
      <c r="A4" t="s">
        <v>122</v>
      </c>
      <c r="B4" t="s">
        <v>98</v>
      </c>
      <c r="C4" t="s">
        <v>99</v>
      </c>
      <c r="D4" t="s">
        <v>127</v>
      </c>
      <c r="E4">
        <v>50</v>
      </c>
    </row>
    <row r="5" spans="1:5">
      <c r="A5" t="s">
        <v>122</v>
      </c>
      <c r="B5" t="s">
        <v>101</v>
      </c>
      <c r="C5" t="s">
        <v>102</v>
      </c>
      <c r="D5" t="s">
        <v>127</v>
      </c>
      <c r="E5">
        <v>50</v>
      </c>
    </row>
    <row r="6" spans="1:5">
      <c r="A6" t="s">
        <v>123</v>
      </c>
      <c r="B6" t="s">
        <v>93</v>
      </c>
      <c r="C6" t="s">
        <v>94</v>
      </c>
      <c r="D6" t="s">
        <v>126</v>
      </c>
      <c r="E6">
        <v>100</v>
      </c>
    </row>
    <row r="7" spans="1:5">
      <c r="A7" t="s">
        <v>123</v>
      </c>
      <c r="B7" t="s">
        <v>97</v>
      </c>
      <c r="C7" t="s">
        <v>75</v>
      </c>
      <c r="D7" t="s">
        <v>126</v>
      </c>
      <c r="E7">
        <v>100</v>
      </c>
    </row>
    <row r="8" spans="1:5">
      <c r="A8" t="s">
        <v>123</v>
      </c>
      <c r="B8" t="s">
        <v>98</v>
      </c>
      <c r="C8" t="s">
        <v>99</v>
      </c>
      <c r="D8" t="s">
        <v>127</v>
      </c>
      <c r="E8">
        <v>50</v>
      </c>
    </row>
    <row r="9" spans="1:5">
      <c r="A9" t="s">
        <v>123</v>
      </c>
      <c r="B9" t="s">
        <v>101</v>
      </c>
      <c r="C9" t="s">
        <v>102</v>
      </c>
      <c r="D9" t="s">
        <v>127</v>
      </c>
      <c r="E9">
        <v>50</v>
      </c>
    </row>
    <row r="10" spans="1:5">
      <c r="A10" t="s">
        <v>123</v>
      </c>
      <c r="B10" t="s">
        <v>103</v>
      </c>
      <c r="C10" t="s">
        <v>128</v>
      </c>
      <c r="D10" t="s">
        <v>129</v>
      </c>
      <c r="E1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baseColWidth="10" defaultRowHeight="16"/>
  <sheetData>
    <row r="1" spans="1:5">
      <c r="A1" s="32" t="s">
        <v>130</v>
      </c>
      <c r="B1" s="32" t="s">
        <v>86</v>
      </c>
      <c r="C1" s="32" t="s">
        <v>90</v>
      </c>
      <c r="D1" s="32" t="s">
        <v>91</v>
      </c>
      <c r="E1" s="32" t="s">
        <v>131</v>
      </c>
    </row>
    <row r="2" spans="1:5">
      <c r="A2" t="s">
        <v>107</v>
      </c>
      <c r="B2" t="s">
        <v>108</v>
      </c>
      <c r="C2">
        <v>-31.59</v>
      </c>
      <c r="D2">
        <v>-60.87</v>
      </c>
      <c r="E2" t="s">
        <v>132</v>
      </c>
    </row>
    <row r="3" spans="1:5">
      <c r="A3" t="s">
        <v>111</v>
      </c>
      <c r="B3" t="s">
        <v>112</v>
      </c>
      <c r="C3">
        <v>-31.54</v>
      </c>
      <c r="D3">
        <v>-60.81</v>
      </c>
      <c r="E3" t="s">
        <v>132</v>
      </c>
    </row>
    <row r="4" spans="1:5">
      <c r="A4" t="s">
        <v>113</v>
      </c>
      <c r="B4" t="s">
        <v>114</v>
      </c>
      <c r="C4">
        <v>-31.76</v>
      </c>
      <c r="D4">
        <v>-60.83</v>
      </c>
      <c r="E4" t="s">
        <v>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baseColWidth="10" defaultRowHeight="16"/>
  <sheetData>
    <row r="1" spans="1:2">
      <c r="A1" s="32" t="s">
        <v>133</v>
      </c>
      <c r="B1" s="32" t="s">
        <v>134</v>
      </c>
    </row>
    <row r="2" spans="1:2">
      <c r="A2" t="s">
        <v>135</v>
      </c>
      <c r="B2">
        <v>600</v>
      </c>
    </row>
    <row r="3" spans="1:2">
      <c r="A3" t="s">
        <v>136</v>
      </c>
      <c r="B3">
        <v>800</v>
      </c>
    </row>
    <row r="4" spans="1:2">
      <c r="A4" t="s">
        <v>137</v>
      </c>
      <c r="B4">
        <v>30</v>
      </c>
    </row>
    <row r="5" spans="1:2">
      <c r="A5" t="s">
        <v>138</v>
      </c>
      <c r="B5">
        <v>100</v>
      </c>
    </row>
    <row r="6" spans="1:2">
      <c r="A6" t="s">
        <v>139</v>
      </c>
      <c r="B6">
        <v>50</v>
      </c>
    </row>
    <row r="7" spans="1:2">
      <c r="A7" t="s">
        <v>140</v>
      </c>
      <c r="B7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"/>
  <sheetViews>
    <sheetView tabSelected="1" workbookViewId="0"/>
  </sheetViews>
  <sheetFormatPr baseColWidth="10" defaultColWidth="8.83203125" defaultRowHeight="16"/>
  <cols>
    <col min="1" max="1" width="22" customWidth="1"/>
    <col min="2" max="2" width="12" customWidth="1"/>
    <col min="3" max="3" width="20" customWidth="1"/>
    <col min="4" max="4" width="18" customWidth="1"/>
    <col min="5" max="6" width="13" customWidth="1"/>
    <col min="7" max="7" width="12" customWidth="1"/>
    <col min="8" max="8" width="24" customWidth="1"/>
    <col min="9" max="9" width="16" customWidth="1"/>
    <col min="10" max="11" width="13" customWidth="1"/>
    <col min="12" max="13" width="12" customWidth="1"/>
    <col min="14" max="15" width="14" customWidth="1"/>
    <col min="16" max="16" width="38" customWidth="1"/>
  </cols>
  <sheetData>
    <row r="1" spans="1:16" ht="34">
      <c r="A1" s="36" t="s">
        <v>141</v>
      </c>
      <c r="B1" s="36" t="s">
        <v>142</v>
      </c>
      <c r="C1" s="36" t="s">
        <v>12</v>
      </c>
      <c r="D1" s="36" t="s">
        <v>143</v>
      </c>
      <c r="E1" s="36" t="s">
        <v>144</v>
      </c>
      <c r="F1" s="36" t="s">
        <v>145</v>
      </c>
      <c r="G1" s="36" t="s">
        <v>124</v>
      </c>
      <c r="H1" s="36" t="s">
        <v>16</v>
      </c>
      <c r="I1" s="36" t="s">
        <v>146</v>
      </c>
      <c r="J1" s="36" t="s">
        <v>147</v>
      </c>
      <c r="K1" s="36" t="s">
        <v>148</v>
      </c>
      <c r="L1" s="36" t="s">
        <v>149</v>
      </c>
      <c r="M1" s="36" t="s">
        <v>150</v>
      </c>
      <c r="N1" s="36" t="s">
        <v>151</v>
      </c>
      <c r="O1" s="36" t="s">
        <v>152</v>
      </c>
      <c r="P1" s="36" t="s">
        <v>131</v>
      </c>
    </row>
    <row r="2" spans="1:16" ht="17">
      <c r="A2" s="37" t="s">
        <v>153</v>
      </c>
      <c r="B2" s="37" t="s">
        <v>154</v>
      </c>
      <c r="C2" s="37" t="s">
        <v>44</v>
      </c>
      <c r="D2" s="37" t="s">
        <v>155</v>
      </c>
      <c r="E2" s="38">
        <v>-31.633299999999998</v>
      </c>
      <c r="F2" s="38">
        <v>-60.7</v>
      </c>
      <c r="G2" s="37" t="s">
        <v>107</v>
      </c>
      <c r="H2" s="37" t="s">
        <v>108</v>
      </c>
      <c r="I2" s="37" t="s">
        <v>109</v>
      </c>
      <c r="J2" s="38">
        <v>-31.59</v>
      </c>
      <c r="K2" s="38">
        <v>-60.87</v>
      </c>
      <c r="L2" s="39">
        <v>16.8</v>
      </c>
      <c r="M2" s="39">
        <v>1.25</v>
      </c>
      <c r="N2" s="39">
        <f t="shared" ref="N2:N37" si="0">IF(O2&lt;&gt;"",O2,L2*M2)</f>
        <v>21</v>
      </c>
      <c r="O2" s="39"/>
      <c r="P2" s="37" t="s">
        <v>156</v>
      </c>
    </row>
    <row r="3" spans="1:16" ht="17">
      <c r="A3" s="37" t="s">
        <v>153</v>
      </c>
      <c r="B3" s="37" t="s">
        <v>154</v>
      </c>
      <c r="C3" s="37" t="s">
        <v>44</v>
      </c>
      <c r="D3" s="37" t="s">
        <v>155</v>
      </c>
      <c r="E3" s="38">
        <v>-31.633299999999998</v>
      </c>
      <c r="F3" s="38">
        <v>-60.7</v>
      </c>
      <c r="G3" s="37" t="s">
        <v>111</v>
      </c>
      <c r="H3" s="37" t="s">
        <v>112</v>
      </c>
      <c r="I3" s="37" t="s">
        <v>109</v>
      </c>
      <c r="J3" s="38">
        <v>-31.54</v>
      </c>
      <c r="K3" s="38">
        <v>-60.81</v>
      </c>
      <c r="L3" s="39">
        <v>14.7</v>
      </c>
      <c r="M3" s="39">
        <v>1.25</v>
      </c>
      <c r="N3" s="39">
        <f t="shared" si="0"/>
        <v>18.375</v>
      </c>
      <c r="O3" s="39"/>
      <c r="P3" s="37" t="s">
        <v>156</v>
      </c>
    </row>
    <row r="4" spans="1:16" ht="17">
      <c r="A4" s="37" t="s">
        <v>153</v>
      </c>
      <c r="B4" s="37" t="s">
        <v>154</v>
      </c>
      <c r="C4" s="37" t="s">
        <v>44</v>
      </c>
      <c r="D4" s="37" t="s">
        <v>155</v>
      </c>
      <c r="E4" s="38">
        <v>-31.633299999999998</v>
      </c>
      <c r="F4" s="38">
        <v>-60.7</v>
      </c>
      <c r="G4" s="37" t="s">
        <v>113</v>
      </c>
      <c r="H4" s="37" t="s">
        <v>114</v>
      </c>
      <c r="I4" s="37" t="s">
        <v>109</v>
      </c>
      <c r="J4" s="38">
        <v>-31.76</v>
      </c>
      <c r="K4" s="38">
        <v>-60.83</v>
      </c>
      <c r="L4" s="39">
        <v>18.7</v>
      </c>
      <c r="M4" s="39">
        <v>1.25</v>
      </c>
      <c r="N4" s="39">
        <f t="shared" si="0"/>
        <v>23.375</v>
      </c>
      <c r="O4" s="39"/>
      <c r="P4" s="37" t="s">
        <v>156</v>
      </c>
    </row>
    <row r="5" spans="1:16" ht="17">
      <c r="A5" s="37" t="s">
        <v>153</v>
      </c>
      <c r="B5" s="37" t="s">
        <v>157</v>
      </c>
      <c r="C5" s="37" t="s">
        <v>75</v>
      </c>
      <c r="D5" s="37" t="s">
        <v>155</v>
      </c>
      <c r="E5" s="38">
        <v>-31.66</v>
      </c>
      <c r="F5" s="38">
        <v>-60.76</v>
      </c>
      <c r="G5" s="37" t="s">
        <v>107</v>
      </c>
      <c r="H5" s="37" t="s">
        <v>108</v>
      </c>
      <c r="I5" s="37" t="s">
        <v>109</v>
      </c>
      <c r="J5" s="38">
        <v>-31.59</v>
      </c>
      <c r="K5" s="38">
        <v>-60.87</v>
      </c>
      <c r="L5" s="39">
        <v>13</v>
      </c>
      <c r="M5" s="39">
        <v>1.25</v>
      </c>
      <c r="N5" s="39">
        <f t="shared" si="0"/>
        <v>16.25</v>
      </c>
      <c r="O5" s="39"/>
      <c r="P5" s="37" t="s">
        <v>156</v>
      </c>
    </row>
    <row r="6" spans="1:16" ht="17">
      <c r="A6" s="37" t="s">
        <v>153</v>
      </c>
      <c r="B6" s="37" t="s">
        <v>157</v>
      </c>
      <c r="C6" s="37" t="s">
        <v>75</v>
      </c>
      <c r="D6" s="37" t="s">
        <v>155</v>
      </c>
      <c r="E6" s="38">
        <v>-31.66</v>
      </c>
      <c r="F6" s="38">
        <v>-60.76</v>
      </c>
      <c r="G6" s="37" t="s">
        <v>111</v>
      </c>
      <c r="H6" s="37" t="s">
        <v>112</v>
      </c>
      <c r="I6" s="37" t="s">
        <v>109</v>
      </c>
      <c r="J6" s="38">
        <v>-31.54</v>
      </c>
      <c r="K6" s="38">
        <v>-60.81</v>
      </c>
      <c r="L6" s="39">
        <v>14.16</v>
      </c>
      <c r="M6" s="39">
        <v>1.25</v>
      </c>
      <c r="N6" s="39">
        <f t="shared" si="0"/>
        <v>17.7</v>
      </c>
      <c r="O6" s="39"/>
      <c r="P6" s="37" t="s">
        <v>156</v>
      </c>
    </row>
    <row r="7" spans="1:16" ht="17">
      <c r="A7" s="37" t="s">
        <v>153</v>
      </c>
      <c r="B7" s="37" t="s">
        <v>157</v>
      </c>
      <c r="C7" s="37" t="s">
        <v>75</v>
      </c>
      <c r="D7" s="37" t="s">
        <v>155</v>
      </c>
      <c r="E7" s="38">
        <v>-31.66</v>
      </c>
      <c r="F7" s="38">
        <v>-60.76</v>
      </c>
      <c r="G7" s="37" t="s">
        <v>113</v>
      </c>
      <c r="H7" s="37" t="s">
        <v>114</v>
      </c>
      <c r="I7" s="37" t="s">
        <v>109</v>
      </c>
      <c r="J7" s="38">
        <v>-31.76</v>
      </c>
      <c r="K7" s="38">
        <v>-60.83</v>
      </c>
      <c r="L7" s="39">
        <v>12.94</v>
      </c>
      <c r="M7" s="39">
        <v>1.25</v>
      </c>
      <c r="N7" s="39">
        <f t="shared" si="0"/>
        <v>16.175000000000001</v>
      </c>
      <c r="O7" s="39"/>
      <c r="P7" s="37" t="s">
        <v>156</v>
      </c>
    </row>
    <row r="8" spans="1:16" ht="34">
      <c r="A8" s="37" t="s">
        <v>153</v>
      </c>
      <c r="B8" s="37" t="s">
        <v>158</v>
      </c>
      <c r="C8" s="37" t="s">
        <v>45</v>
      </c>
      <c r="D8" s="37" t="s">
        <v>155</v>
      </c>
      <c r="E8" s="38">
        <v>-31.55</v>
      </c>
      <c r="F8" s="38">
        <v>-60.67</v>
      </c>
      <c r="G8" s="37" t="s">
        <v>107</v>
      </c>
      <c r="H8" s="37" t="s">
        <v>108</v>
      </c>
      <c r="I8" s="37" t="s">
        <v>109</v>
      </c>
      <c r="J8" s="38">
        <v>-31.59</v>
      </c>
      <c r="K8" s="38">
        <v>-60.87</v>
      </c>
      <c r="L8" s="39">
        <v>19.46</v>
      </c>
      <c r="M8" s="39">
        <v>1.25</v>
      </c>
      <c r="N8" s="39">
        <f t="shared" si="0"/>
        <v>24.325000000000003</v>
      </c>
      <c r="O8" s="39"/>
      <c r="P8" s="37" t="s">
        <v>159</v>
      </c>
    </row>
    <row r="9" spans="1:16" ht="34">
      <c r="A9" s="37" t="s">
        <v>153</v>
      </c>
      <c r="B9" s="37" t="s">
        <v>158</v>
      </c>
      <c r="C9" s="37" t="s">
        <v>45</v>
      </c>
      <c r="D9" s="37" t="s">
        <v>155</v>
      </c>
      <c r="E9" s="38">
        <v>-31.55</v>
      </c>
      <c r="F9" s="38">
        <v>-60.67</v>
      </c>
      <c r="G9" s="37" t="s">
        <v>111</v>
      </c>
      <c r="H9" s="37" t="s">
        <v>112</v>
      </c>
      <c r="I9" s="37" t="s">
        <v>109</v>
      </c>
      <c r="J9" s="38">
        <v>-31.54</v>
      </c>
      <c r="K9" s="38">
        <v>-60.81</v>
      </c>
      <c r="L9" s="39">
        <v>13.31</v>
      </c>
      <c r="M9" s="39">
        <v>1.25</v>
      </c>
      <c r="N9" s="39">
        <f t="shared" si="0"/>
        <v>16.637499999999999</v>
      </c>
      <c r="O9" s="39"/>
      <c r="P9" s="37" t="s">
        <v>159</v>
      </c>
    </row>
    <row r="10" spans="1:16" ht="34">
      <c r="A10" s="37" t="s">
        <v>153</v>
      </c>
      <c r="B10" s="37" t="s">
        <v>158</v>
      </c>
      <c r="C10" s="37" t="s">
        <v>45</v>
      </c>
      <c r="D10" s="37" t="s">
        <v>155</v>
      </c>
      <c r="E10" s="38">
        <v>-31.55</v>
      </c>
      <c r="F10" s="38">
        <v>-60.67</v>
      </c>
      <c r="G10" s="37" t="s">
        <v>113</v>
      </c>
      <c r="H10" s="37" t="s">
        <v>114</v>
      </c>
      <c r="I10" s="37" t="s">
        <v>109</v>
      </c>
      <c r="J10" s="38">
        <v>-31.76</v>
      </c>
      <c r="K10" s="38">
        <v>-60.83</v>
      </c>
      <c r="L10" s="39">
        <v>27.83</v>
      </c>
      <c r="M10" s="39">
        <v>1.25</v>
      </c>
      <c r="N10" s="39">
        <f t="shared" si="0"/>
        <v>34.787499999999994</v>
      </c>
      <c r="O10" s="39"/>
      <c r="P10" s="37" t="s">
        <v>159</v>
      </c>
    </row>
    <row r="11" spans="1:16" ht="17">
      <c r="A11" s="37" t="s">
        <v>160</v>
      </c>
      <c r="B11" s="37" t="s">
        <v>154</v>
      </c>
      <c r="C11" s="37" t="s">
        <v>44</v>
      </c>
      <c r="D11" s="37" t="s">
        <v>155</v>
      </c>
      <c r="E11" s="38">
        <v>-31.633299999999998</v>
      </c>
      <c r="F11" s="38">
        <v>-60.7</v>
      </c>
      <c r="G11" s="37" t="s">
        <v>93</v>
      </c>
      <c r="H11" s="37" t="s">
        <v>94</v>
      </c>
      <c r="I11" s="37" t="s">
        <v>13</v>
      </c>
      <c r="J11" s="38">
        <v>-31.6</v>
      </c>
      <c r="K11" s="38">
        <v>-60.75</v>
      </c>
      <c r="L11" s="39">
        <v>6.01</v>
      </c>
      <c r="M11" s="39">
        <v>1.25</v>
      </c>
      <c r="N11" s="39">
        <f t="shared" si="0"/>
        <v>7.5124999999999993</v>
      </c>
      <c r="O11" s="39"/>
      <c r="P11" s="37" t="s">
        <v>156</v>
      </c>
    </row>
    <row r="12" spans="1:16" ht="17">
      <c r="A12" s="37" t="s">
        <v>160</v>
      </c>
      <c r="B12" s="37" t="s">
        <v>154</v>
      </c>
      <c r="C12" s="37" t="s">
        <v>44</v>
      </c>
      <c r="D12" s="37" t="s">
        <v>155</v>
      </c>
      <c r="E12" s="38">
        <v>-31.633299999999998</v>
      </c>
      <c r="F12" s="38">
        <v>-60.7</v>
      </c>
      <c r="G12" s="37" t="s">
        <v>97</v>
      </c>
      <c r="H12" s="37" t="s">
        <v>75</v>
      </c>
      <c r="I12" s="37" t="s">
        <v>13</v>
      </c>
      <c r="J12" s="38">
        <v>-31.66</v>
      </c>
      <c r="K12" s="38">
        <v>-60.76</v>
      </c>
      <c r="L12" s="39">
        <v>6.41</v>
      </c>
      <c r="M12" s="39">
        <v>1.25</v>
      </c>
      <c r="N12" s="39">
        <f t="shared" si="0"/>
        <v>8.0124999999999993</v>
      </c>
      <c r="O12" s="39"/>
      <c r="P12" s="37" t="s">
        <v>156</v>
      </c>
    </row>
    <row r="13" spans="1:16" ht="17">
      <c r="A13" s="37" t="s">
        <v>160</v>
      </c>
      <c r="B13" s="37" t="s">
        <v>154</v>
      </c>
      <c r="C13" s="37" t="s">
        <v>44</v>
      </c>
      <c r="D13" s="37" t="s">
        <v>155</v>
      </c>
      <c r="E13" s="38">
        <v>-31.633299999999998</v>
      </c>
      <c r="F13" s="38">
        <v>-60.7</v>
      </c>
      <c r="G13" s="37" t="s">
        <v>98</v>
      </c>
      <c r="H13" s="37" t="s">
        <v>99</v>
      </c>
      <c r="I13" s="37" t="s">
        <v>13</v>
      </c>
      <c r="J13" s="38">
        <v>-31.49</v>
      </c>
      <c r="K13" s="38">
        <v>-60.73</v>
      </c>
      <c r="L13" s="39">
        <v>16.190000000000001</v>
      </c>
      <c r="M13" s="39">
        <v>1.25</v>
      </c>
      <c r="N13" s="39">
        <f t="shared" si="0"/>
        <v>20.237500000000001</v>
      </c>
      <c r="O13" s="39"/>
      <c r="P13" s="37" t="s">
        <v>156</v>
      </c>
    </row>
    <row r="14" spans="1:16" ht="17">
      <c r="A14" s="37" t="s">
        <v>160</v>
      </c>
      <c r="B14" s="37" t="s">
        <v>154</v>
      </c>
      <c r="C14" s="37" t="s">
        <v>44</v>
      </c>
      <c r="D14" s="37" t="s">
        <v>155</v>
      </c>
      <c r="E14" s="38">
        <v>-31.633299999999998</v>
      </c>
      <c r="F14" s="38">
        <v>-60.7</v>
      </c>
      <c r="G14" s="37" t="s">
        <v>101</v>
      </c>
      <c r="H14" s="37" t="s">
        <v>102</v>
      </c>
      <c r="I14" s="37" t="s">
        <v>13</v>
      </c>
      <c r="J14" s="38">
        <v>-31.6</v>
      </c>
      <c r="K14" s="38">
        <v>-60.56</v>
      </c>
      <c r="L14" s="39">
        <v>13.76</v>
      </c>
      <c r="M14" s="39">
        <v>1.25</v>
      </c>
      <c r="N14" s="39">
        <f t="shared" si="0"/>
        <v>17.2</v>
      </c>
      <c r="O14" s="39"/>
      <c r="P14" s="37" t="s">
        <v>156</v>
      </c>
    </row>
    <row r="15" spans="1:16" ht="17">
      <c r="A15" s="37" t="s">
        <v>160</v>
      </c>
      <c r="B15" s="37" t="s">
        <v>157</v>
      </c>
      <c r="C15" s="37" t="s">
        <v>75</v>
      </c>
      <c r="D15" s="37" t="s">
        <v>155</v>
      </c>
      <c r="E15" s="38">
        <v>-31.66</v>
      </c>
      <c r="F15" s="38">
        <v>-60.76</v>
      </c>
      <c r="G15" s="37" t="s">
        <v>93</v>
      </c>
      <c r="H15" s="37" t="s">
        <v>94</v>
      </c>
      <c r="I15" s="37" t="s">
        <v>13</v>
      </c>
      <c r="J15" s="38">
        <v>-31.6</v>
      </c>
      <c r="K15" s="38">
        <v>-60.75</v>
      </c>
      <c r="L15" s="39">
        <v>6.74</v>
      </c>
      <c r="M15" s="39">
        <v>1.25</v>
      </c>
      <c r="N15" s="39">
        <f t="shared" si="0"/>
        <v>8.4250000000000007</v>
      </c>
      <c r="O15" s="39"/>
      <c r="P15" s="37" t="s">
        <v>156</v>
      </c>
    </row>
    <row r="16" spans="1:16" ht="17">
      <c r="A16" s="37" t="s">
        <v>160</v>
      </c>
      <c r="B16" s="37" t="s">
        <v>157</v>
      </c>
      <c r="C16" s="37" t="s">
        <v>75</v>
      </c>
      <c r="D16" s="37" t="s">
        <v>155</v>
      </c>
      <c r="E16" s="38">
        <v>-31.66</v>
      </c>
      <c r="F16" s="38">
        <v>-60.76</v>
      </c>
      <c r="G16" s="37" t="s">
        <v>97</v>
      </c>
      <c r="H16" s="37" t="s">
        <v>75</v>
      </c>
      <c r="I16" s="37" t="s">
        <v>13</v>
      </c>
      <c r="J16" s="38">
        <v>-31.66</v>
      </c>
      <c r="K16" s="38">
        <v>-60.76</v>
      </c>
      <c r="L16" s="39">
        <v>0</v>
      </c>
      <c r="M16" s="39">
        <v>1.25</v>
      </c>
      <c r="N16" s="39">
        <f t="shared" si="0"/>
        <v>0</v>
      </c>
      <c r="O16" s="39"/>
      <c r="P16" s="37" t="s">
        <v>156</v>
      </c>
    </row>
    <row r="17" spans="1:16" ht="17">
      <c r="A17" s="37" t="s">
        <v>160</v>
      </c>
      <c r="B17" s="37" t="s">
        <v>157</v>
      </c>
      <c r="C17" s="37" t="s">
        <v>75</v>
      </c>
      <c r="D17" s="37" t="s">
        <v>155</v>
      </c>
      <c r="E17" s="38">
        <v>-31.66</v>
      </c>
      <c r="F17" s="38">
        <v>-60.76</v>
      </c>
      <c r="G17" s="37" t="s">
        <v>98</v>
      </c>
      <c r="H17" s="37" t="s">
        <v>99</v>
      </c>
      <c r="I17" s="37" t="s">
        <v>13</v>
      </c>
      <c r="J17" s="38">
        <v>-31.49</v>
      </c>
      <c r="K17" s="38">
        <v>-60.73</v>
      </c>
      <c r="L17" s="39">
        <v>19.12</v>
      </c>
      <c r="M17" s="39">
        <v>1.25</v>
      </c>
      <c r="N17" s="39">
        <f t="shared" si="0"/>
        <v>23.900000000000002</v>
      </c>
      <c r="O17" s="39"/>
      <c r="P17" s="37" t="s">
        <v>156</v>
      </c>
    </row>
    <row r="18" spans="1:16" ht="17">
      <c r="A18" s="37" t="s">
        <v>160</v>
      </c>
      <c r="B18" s="37" t="s">
        <v>157</v>
      </c>
      <c r="C18" s="37" t="s">
        <v>75</v>
      </c>
      <c r="D18" s="37" t="s">
        <v>155</v>
      </c>
      <c r="E18" s="38">
        <v>-31.66</v>
      </c>
      <c r="F18" s="38">
        <v>-60.76</v>
      </c>
      <c r="G18" s="37" t="s">
        <v>101</v>
      </c>
      <c r="H18" s="37" t="s">
        <v>102</v>
      </c>
      <c r="I18" s="37" t="s">
        <v>13</v>
      </c>
      <c r="J18" s="38">
        <v>-31.6</v>
      </c>
      <c r="K18" s="38">
        <v>-60.56</v>
      </c>
      <c r="L18" s="39">
        <v>20.079999999999998</v>
      </c>
      <c r="M18" s="39">
        <v>1.25</v>
      </c>
      <c r="N18" s="39">
        <f t="shared" si="0"/>
        <v>25.099999999999998</v>
      </c>
      <c r="O18" s="39"/>
      <c r="P18" s="37" t="s">
        <v>156</v>
      </c>
    </row>
    <row r="19" spans="1:16" ht="34">
      <c r="A19" s="37" t="s">
        <v>160</v>
      </c>
      <c r="B19" s="37" t="s">
        <v>158</v>
      </c>
      <c r="C19" s="37" t="s">
        <v>45</v>
      </c>
      <c r="D19" s="37" t="s">
        <v>155</v>
      </c>
      <c r="E19" s="38">
        <v>-31.55</v>
      </c>
      <c r="F19" s="38">
        <v>-60.67</v>
      </c>
      <c r="G19" s="37" t="s">
        <v>93</v>
      </c>
      <c r="H19" s="37" t="s">
        <v>94</v>
      </c>
      <c r="I19" s="37" t="s">
        <v>13</v>
      </c>
      <c r="J19" s="38">
        <v>-31.6</v>
      </c>
      <c r="K19" s="38">
        <v>-60.75</v>
      </c>
      <c r="L19" s="39">
        <v>9.4</v>
      </c>
      <c r="M19" s="39">
        <v>1.25</v>
      </c>
      <c r="N19" s="39">
        <f t="shared" si="0"/>
        <v>11.75</v>
      </c>
      <c r="O19" s="39"/>
      <c r="P19" s="37" t="s">
        <v>159</v>
      </c>
    </row>
    <row r="20" spans="1:16" ht="34">
      <c r="A20" s="37" t="s">
        <v>160</v>
      </c>
      <c r="B20" s="37" t="s">
        <v>158</v>
      </c>
      <c r="C20" s="37" t="s">
        <v>45</v>
      </c>
      <c r="D20" s="37" t="s">
        <v>155</v>
      </c>
      <c r="E20" s="38">
        <v>-31.55</v>
      </c>
      <c r="F20" s="38">
        <v>-60.67</v>
      </c>
      <c r="G20" s="37" t="s">
        <v>97</v>
      </c>
      <c r="H20" s="37" t="s">
        <v>75</v>
      </c>
      <c r="I20" s="37" t="s">
        <v>13</v>
      </c>
      <c r="J20" s="38">
        <v>-31.66</v>
      </c>
      <c r="K20" s="38">
        <v>-60.76</v>
      </c>
      <c r="L20" s="39">
        <v>14.91</v>
      </c>
      <c r="M20" s="39">
        <v>1.25</v>
      </c>
      <c r="N20" s="39">
        <f t="shared" si="0"/>
        <v>18.637499999999999</v>
      </c>
      <c r="O20" s="39"/>
      <c r="P20" s="37" t="s">
        <v>159</v>
      </c>
    </row>
    <row r="21" spans="1:16" ht="34">
      <c r="A21" s="37" t="s">
        <v>160</v>
      </c>
      <c r="B21" s="37" t="s">
        <v>158</v>
      </c>
      <c r="C21" s="37" t="s">
        <v>45</v>
      </c>
      <c r="D21" s="37" t="s">
        <v>155</v>
      </c>
      <c r="E21" s="38">
        <v>-31.55</v>
      </c>
      <c r="F21" s="38">
        <v>-60.67</v>
      </c>
      <c r="G21" s="37" t="s">
        <v>98</v>
      </c>
      <c r="H21" s="37" t="s">
        <v>99</v>
      </c>
      <c r="I21" s="37" t="s">
        <v>13</v>
      </c>
      <c r="J21" s="38">
        <v>-31.49</v>
      </c>
      <c r="K21" s="38">
        <v>-60.73</v>
      </c>
      <c r="L21" s="39">
        <v>8.77</v>
      </c>
      <c r="M21" s="39">
        <v>1.25</v>
      </c>
      <c r="N21" s="39">
        <f t="shared" si="0"/>
        <v>10.962499999999999</v>
      </c>
      <c r="O21" s="39"/>
      <c r="P21" s="37" t="s">
        <v>159</v>
      </c>
    </row>
    <row r="22" spans="1:16" ht="34">
      <c r="A22" s="37" t="s">
        <v>160</v>
      </c>
      <c r="B22" s="37" t="s">
        <v>158</v>
      </c>
      <c r="C22" s="37" t="s">
        <v>45</v>
      </c>
      <c r="D22" s="37" t="s">
        <v>155</v>
      </c>
      <c r="E22" s="38">
        <v>-31.55</v>
      </c>
      <c r="F22" s="38">
        <v>-60.67</v>
      </c>
      <c r="G22" s="37" t="s">
        <v>101</v>
      </c>
      <c r="H22" s="37" t="s">
        <v>102</v>
      </c>
      <c r="I22" s="37" t="s">
        <v>13</v>
      </c>
      <c r="J22" s="38">
        <v>-31.6</v>
      </c>
      <c r="K22" s="38">
        <v>-60.56</v>
      </c>
      <c r="L22" s="39">
        <v>11.81</v>
      </c>
      <c r="M22" s="39">
        <v>1.25</v>
      </c>
      <c r="N22" s="39">
        <f t="shared" si="0"/>
        <v>14.762500000000001</v>
      </c>
      <c r="O22" s="39"/>
      <c r="P22" s="37" t="s">
        <v>159</v>
      </c>
    </row>
    <row r="23" spans="1:16" ht="17">
      <c r="A23" s="37" t="s">
        <v>161</v>
      </c>
      <c r="B23" s="37" t="s">
        <v>154</v>
      </c>
      <c r="C23" s="37" t="s">
        <v>44</v>
      </c>
      <c r="D23" s="37" t="s">
        <v>155</v>
      </c>
      <c r="E23" s="38">
        <v>-31.633299999999998</v>
      </c>
      <c r="F23" s="38">
        <v>-60.7</v>
      </c>
      <c r="G23" s="37" t="s">
        <v>103</v>
      </c>
      <c r="H23" s="37" t="s">
        <v>104</v>
      </c>
      <c r="I23" s="37" t="s">
        <v>105</v>
      </c>
      <c r="J23" s="38">
        <v>-31.6</v>
      </c>
      <c r="K23" s="38">
        <v>-60.75</v>
      </c>
      <c r="L23" s="39">
        <v>6.01</v>
      </c>
      <c r="M23" s="39">
        <v>1.25</v>
      </c>
      <c r="N23" s="39">
        <f t="shared" si="0"/>
        <v>7.5124999999999993</v>
      </c>
      <c r="O23" s="39"/>
      <c r="P23" s="37" t="s">
        <v>156</v>
      </c>
    </row>
    <row r="24" spans="1:16" ht="17">
      <c r="A24" s="37" t="s">
        <v>161</v>
      </c>
      <c r="B24" s="37" t="s">
        <v>157</v>
      </c>
      <c r="C24" s="37" t="s">
        <v>75</v>
      </c>
      <c r="D24" s="37" t="s">
        <v>155</v>
      </c>
      <c r="E24" s="38">
        <v>-31.66</v>
      </c>
      <c r="F24" s="38">
        <v>-60.76</v>
      </c>
      <c r="G24" s="37" t="s">
        <v>103</v>
      </c>
      <c r="H24" s="37" t="s">
        <v>104</v>
      </c>
      <c r="I24" s="37" t="s">
        <v>105</v>
      </c>
      <c r="J24" s="38">
        <v>-31.6</v>
      </c>
      <c r="K24" s="38">
        <v>-60.75</v>
      </c>
      <c r="L24" s="39">
        <v>6.74</v>
      </c>
      <c r="M24" s="39">
        <v>1.25</v>
      </c>
      <c r="N24" s="39">
        <f t="shared" si="0"/>
        <v>8.4250000000000007</v>
      </c>
      <c r="O24" s="39"/>
      <c r="P24" s="37" t="s">
        <v>156</v>
      </c>
    </row>
    <row r="25" spans="1:16" ht="34">
      <c r="A25" s="37" t="s">
        <v>161</v>
      </c>
      <c r="B25" s="37" t="s">
        <v>158</v>
      </c>
      <c r="C25" s="37" t="s">
        <v>45</v>
      </c>
      <c r="D25" s="37" t="s">
        <v>155</v>
      </c>
      <c r="E25" s="38">
        <v>-31.55</v>
      </c>
      <c r="F25" s="38">
        <v>-60.67</v>
      </c>
      <c r="G25" s="37" t="s">
        <v>103</v>
      </c>
      <c r="H25" s="37" t="s">
        <v>104</v>
      </c>
      <c r="I25" s="37" t="s">
        <v>105</v>
      </c>
      <c r="J25" s="38">
        <v>-31.6</v>
      </c>
      <c r="K25" s="38">
        <v>-60.75</v>
      </c>
      <c r="L25" s="39">
        <v>9.4</v>
      </c>
      <c r="M25" s="39">
        <v>1.25</v>
      </c>
      <c r="N25" s="39">
        <f t="shared" si="0"/>
        <v>11.75</v>
      </c>
      <c r="O25" s="39"/>
      <c r="P25" s="37" t="s">
        <v>159</v>
      </c>
    </row>
    <row r="26" spans="1:16" ht="34">
      <c r="A26" s="37" t="s">
        <v>162</v>
      </c>
      <c r="B26" s="37" t="s">
        <v>93</v>
      </c>
      <c r="C26" s="37" t="s">
        <v>94</v>
      </c>
      <c r="D26" s="37" t="s">
        <v>13</v>
      </c>
      <c r="E26" s="38">
        <v>-31.6</v>
      </c>
      <c r="F26" s="38">
        <v>-60.75</v>
      </c>
      <c r="G26" s="37" t="s">
        <v>107</v>
      </c>
      <c r="H26" s="37" t="s">
        <v>108</v>
      </c>
      <c r="I26" s="37" t="s">
        <v>109</v>
      </c>
      <c r="J26" s="38">
        <v>-31.59</v>
      </c>
      <c r="K26" s="38">
        <v>-60.87</v>
      </c>
      <c r="L26" s="39">
        <v>11.42</v>
      </c>
      <c r="M26" s="39">
        <v>1.25</v>
      </c>
      <c r="N26" s="39">
        <f t="shared" si="0"/>
        <v>14.275</v>
      </c>
      <c r="O26" s="39"/>
      <c r="P26" s="37" t="s">
        <v>163</v>
      </c>
    </row>
    <row r="27" spans="1:16" ht="34">
      <c r="A27" s="37" t="s">
        <v>162</v>
      </c>
      <c r="B27" s="37" t="s">
        <v>93</v>
      </c>
      <c r="C27" s="37" t="s">
        <v>94</v>
      </c>
      <c r="D27" s="37" t="s">
        <v>13</v>
      </c>
      <c r="E27" s="38">
        <v>-31.6</v>
      </c>
      <c r="F27" s="38">
        <v>-60.75</v>
      </c>
      <c r="G27" s="37" t="s">
        <v>111</v>
      </c>
      <c r="H27" s="37" t="s">
        <v>112</v>
      </c>
      <c r="I27" s="37" t="s">
        <v>109</v>
      </c>
      <c r="J27" s="38">
        <v>-31.54</v>
      </c>
      <c r="K27" s="38">
        <v>-60.81</v>
      </c>
      <c r="L27" s="39">
        <v>8.76</v>
      </c>
      <c r="M27" s="39">
        <v>1.25</v>
      </c>
      <c r="N27" s="39">
        <f t="shared" si="0"/>
        <v>10.95</v>
      </c>
      <c r="O27" s="39"/>
      <c r="P27" s="37" t="s">
        <v>163</v>
      </c>
    </row>
    <row r="28" spans="1:16" ht="34">
      <c r="A28" s="37" t="s">
        <v>162</v>
      </c>
      <c r="B28" s="37" t="s">
        <v>93</v>
      </c>
      <c r="C28" s="37" t="s">
        <v>94</v>
      </c>
      <c r="D28" s="37" t="s">
        <v>13</v>
      </c>
      <c r="E28" s="38">
        <v>-31.6</v>
      </c>
      <c r="F28" s="38">
        <v>-60.75</v>
      </c>
      <c r="G28" s="37" t="s">
        <v>113</v>
      </c>
      <c r="H28" s="37" t="s">
        <v>114</v>
      </c>
      <c r="I28" s="37" t="s">
        <v>109</v>
      </c>
      <c r="J28" s="38">
        <v>-31.76</v>
      </c>
      <c r="K28" s="38">
        <v>-60.83</v>
      </c>
      <c r="L28" s="39">
        <v>19.329999999999998</v>
      </c>
      <c r="M28" s="39">
        <v>1.25</v>
      </c>
      <c r="N28" s="39">
        <f t="shared" si="0"/>
        <v>24.162499999999998</v>
      </c>
      <c r="O28" s="39"/>
      <c r="P28" s="37" t="s">
        <v>163</v>
      </c>
    </row>
    <row r="29" spans="1:16" ht="34">
      <c r="A29" s="37" t="s">
        <v>162</v>
      </c>
      <c r="B29" s="37" t="s">
        <v>97</v>
      </c>
      <c r="C29" s="37" t="s">
        <v>75</v>
      </c>
      <c r="D29" s="37" t="s">
        <v>13</v>
      </c>
      <c r="E29" s="38">
        <v>-31.66</v>
      </c>
      <c r="F29" s="38">
        <v>-60.76</v>
      </c>
      <c r="G29" s="37" t="s">
        <v>107</v>
      </c>
      <c r="H29" s="37" t="s">
        <v>108</v>
      </c>
      <c r="I29" s="37" t="s">
        <v>109</v>
      </c>
      <c r="J29" s="38">
        <v>-31.59</v>
      </c>
      <c r="K29" s="38">
        <v>-60.87</v>
      </c>
      <c r="L29" s="39">
        <v>13</v>
      </c>
      <c r="M29" s="39">
        <v>1.25</v>
      </c>
      <c r="N29" s="39">
        <f t="shared" si="0"/>
        <v>16.25</v>
      </c>
      <c r="O29" s="39"/>
      <c r="P29" s="37" t="s">
        <v>163</v>
      </c>
    </row>
    <row r="30" spans="1:16" ht="34">
      <c r="A30" s="37" t="s">
        <v>162</v>
      </c>
      <c r="B30" s="37" t="s">
        <v>97</v>
      </c>
      <c r="C30" s="37" t="s">
        <v>75</v>
      </c>
      <c r="D30" s="37" t="s">
        <v>13</v>
      </c>
      <c r="E30" s="38">
        <v>-31.66</v>
      </c>
      <c r="F30" s="38">
        <v>-60.76</v>
      </c>
      <c r="G30" s="37" t="s">
        <v>111</v>
      </c>
      <c r="H30" s="37" t="s">
        <v>112</v>
      </c>
      <c r="I30" s="37" t="s">
        <v>109</v>
      </c>
      <c r="J30" s="38">
        <v>-31.54</v>
      </c>
      <c r="K30" s="38">
        <v>-60.81</v>
      </c>
      <c r="L30" s="39">
        <v>14.16</v>
      </c>
      <c r="M30" s="39">
        <v>1.25</v>
      </c>
      <c r="N30" s="39">
        <f t="shared" si="0"/>
        <v>17.7</v>
      </c>
      <c r="O30" s="39"/>
      <c r="P30" s="37" t="s">
        <v>163</v>
      </c>
    </row>
    <row r="31" spans="1:16" ht="34">
      <c r="A31" s="37" t="s">
        <v>162</v>
      </c>
      <c r="B31" s="37" t="s">
        <v>97</v>
      </c>
      <c r="C31" s="37" t="s">
        <v>75</v>
      </c>
      <c r="D31" s="37" t="s">
        <v>13</v>
      </c>
      <c r="E31" s="38">
        <v>-31.66</v>
      </c>
      <c r="F31" s="38">
        <v>-60.76</v>
      </c>
      <c r="G31" s="37" t="s">
        <v>113</v>
      </c>
      <c r="H31" s="37" t="s">
        <v>114</v>
      </c>
      <c r="I31" s="37" t="s">
        <v>109</v>
      </c>
      <c r="J31" s="38">
        <v>-31.76</v>
      </c>
      <c r="K31" s="38">
        <v>-60.83</v>
      </c>
      <c r="L31" s="39">
        <v>12.94</v>
      </c>
      <c r="M31" s="39">
        <v>1.25</v>
      </c>
      <c r="N31" s="39">
        <f t="shared" si="0"/>
        <v>16.175000000000001</v>
      </c>
      <c r="O31" s="39"/>
      <c r="P31" s="37" t="s">
        <v>163</v>
      </c>
    </row>
    <row r="32" spans="1:16" ht="34">
      <c r="A32" s="37" t="s">
        <v>162</v>
      </c>
      <c r="B32" s="37" t="s">
        <v>98</v>
      </c>
      <c r="C32" s="37" t="s">
        <v>99</v>
      </c>
      <c r="D32" s="37" t="s">
        <v>13</v>
      </c>
      <c r="E32" s="38">
        <v>-31.49</v>
      </c>
      <c r="F32" s="38">
        <v>-60.73</v>
      </c>
      <c r="G32" s="37" t="s">
        <v>107</v>
      </c>
      <c r="H32" s="37" t="s">
        <v>108</v>
      </c>
      <c r="I32" s="37" t="s">
        <v>109</v>
      </c>
      <c r="J32" s="38">
        <v>-31.59</v>
      </c>
      <c r="K32" s="38">
        <v>-60.87</v>
      </c>
      <c r="L32" s="39">
        <v>17.309999999999999</v>
      </c>
      <c r="M32" s="39">
        <v>1.25</v>
      </c>
      <c r="N32" s="39">
        <f t="shared" si="0"/>
        <v>21.637499999999999</v>
      </c>
      <c r="O32" s="39"/>
      <c r="P32" s="37" t="s">
        <v>163</v>
      </c>
    </row>
    <row r="33" spans="1:16" ht="34">
      <c r="A33" s="37" t="s">
        <v>162</v>
      </c>
      <c r="B33" s="37" t="s">
        <v>98</v>
      </c>
      <c r="C33" s="37" t="s">
        <v>99</v>
      </c>
      <c r="D33" s="37" t="s">
        <v>13</v>
      </c>
      <c r="E33" s="38">
        <v>-31.49</v>
      </c>
      <c r="F33" s="38">
        <v>-60.73</v>
      </c>
      <c r="G33" s="37" t="s">
        <v>111</v>
      </c>
      <c r="H33" s="37" t="s">
        <v>112</v>
      </c>
      <c r="I33" s="37" t="s">
        <v>109</v>
      </c>
      <c r="J33" s="38">
        <v>-31.54</v>
      </c>
      <c r="K33" s="38">
        <v>-60.81</v>
      </c>
      <c r="L33" s="39">
        <v>9.4</v>
      </c>
      <c r="M33" s="39">
        <v>1.25</v>
      </c>
      <c r="N33" s="39">
        <f t="shared" si="0"/>
        <v>11.75</v>
      </c>
      <c r="O33" s="39"/>
      <c r="P33" s="37" t="s">
        <v>163</v>
      </c>
    </row>
    <row r="34" spans="1:16" ht="34">
      <c r="A34" s="37" t="s">
        <v>162</v>
      </c>
      <c r="B34" s="37" t="s">
        <v>98</v>
      </c>
      <c r="C34" s="37" t="s">
        <v>99</v>
      </c>
      <c r="D34" s="37" t="s">
        <v>13</v>
      </c>
      <c r="E34" s="38">
        <v>-31.49</v>
      </c>
      <c r="F34" s="38">
        <v>-60.73</v>
      </c>
      <c r="G34" s="37" t="s">
        <v>113</v>
      </c>
      <c r="H34" s="37" t="s">
        <v>114</v>
      </c>
      <c r="I34" s="37" t="s">
        <v>109</v>
      </c>
      <c r="J34" s="38">
        <v>-31.76</v>
      </c>
      <c r="K34" s="38">
        <v>-60.83</v>
      </c>
      <c r="L34" s="39">
        <v>31.48</v>
      </c>
      <c r="M34" s="39">
        <v>1.25</v>
      </c>
      <c r="N34" s="39">
        <f t="shared" si="0"/>
        <v>39.35</v>
      </c>
      <c r="O34" s="39"/>
      <c r="P34" s="37" t="s">
        <v>163</v>
      </c>
    </row>
    <row r="35" spans="1:16" ht="34">
      <c r="A35" s="37" t="s">
        <v>162</v>
      </c>
      <c r="B35" s="37" t="s">
        <v>101</v>
      </c>
      <c r="C35" s="37" t="s">
        <v>102</v>
      </c>
      <c r="D35" s="37" t="s">
        <v>13</v>
      </c>
      <c r="E35" s="38">
        <v>-31.6</v>
      </c>
      <c r="F35" s="38">
        <v>-60.56</v>
      </c>
      <c r="G35" s="37" t="s">
        <v>107</v>
      </c>
      <c r="H35" s="37" t="s">
        <v>108</v>
      </c>
      <c r="I35" s="37" t="s">
        <v>109</v>
      </c>
      <c r="J35" s="38">
        <v>-31.59</v>
      </c>
      <c r="K35" s="38">
        <v>-60.87</v>
      </c>
      <c r="L35" s="39">
        <v>29.38</v>
      </c>
      <c r="M35" s="39">
        <v>1.25</v>
      </c>
      <c r="N35" s="39">
        <f t="shared" si="0"/>
        <v>36.725000000000001</v>
      </c>
      <c r="O35" s="39"/>
      <c r="P35" s="37" t="s">
        <v>163</v>
      </c>
    </row>
    <row r="36" spans="1:16" ht="34">
      <c r="A36" s="37" t="s">
        <v>162</v>
      </c>
      <c r="B36" s="37" t="s">
        <v>101</v>
      </c>
      <c r="C36" s="37" t="s">
        <v>102</v>
      </c>
      <c r="D36" s="37" t="s">
        <v>13</v>
      </c>
      <c r="E36" s="38">
        <v>-31.6</v>
      </c>
      <c r="F36" s="38">
        <v>-60.56</v>
      </c>
      <c r="G36" s="37" t="s">
        <v>111</v>
      </c>
      <c r="H36" s="37" t="s">
        <v>112</v>
      </c>
      <c r="I36" s="37" t="s">
        <v>109</v>
      </c>
      <c r="J36" s="38">
        <v>-31.54</v>
      </c>
      <c r="K36" s="38">
        <v>-60.81</v>
      </c>
      <c r="L36" s="39">
        <v>24.61</v>
      </c>
      <c r="M36" s="39">
        <v>1.25</v>
      </c>
      <c r="N36" s="39">
        <f t="shared" si="0"/>
        <v>30.762499999999999</v>
      </c>
      <c r="O36" s="39"/>
      <c r="P36" s="37" t="s">
        <v>163</v>
      </c>
    </row>
    <row r="37" spans="1:16" ht="34">
      <c r="A37" s="37" t="s">
        <v>162</v>
      </c>
      <c r="B37" s="37" t="s">
        <v>101</v>
      </c>
      <c r="C37" s="37" t="s">
        <v>102</v>
      </c>
      <c r="D37" s="37" t="s">
        <v>13</v>
      </c>
      <c r="E37" s="38">
        <v>-31.6</v>
      </c>
      <c r="F37" s="38">
        <v>-60.56</v>
      </c>
      <c r="G37" s="37" t="s">
        <v>113</v>
      </c>
      <c r="H37" s="37" t="s">
        <v>114</v>
      </c>
      <c r="I37" s="37" t="s">
        <v>109</v>
      </c>
      <c r="J37" s="38">
        <v>-31.76</v>
      </c>
      <c r="K37" s="38">
        <v>-60.83</v>
      </c>
      <c r="L37" s="39">
        <v>31.13</v>
      </c>
      <c r="M37" s="39">
        <v>1.25</v>
      </c>
      <c r="N37" s="39">
        <f t="shared" si="0"/>
        <v>38.912500000000001</v>
      </c>
      <c r="O37" s="39"/>
      <c r="P37" s="37" t="s">
        <v>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BATEAS</vt:lpstr>
      <vt:lpstr>RESIDUOS</vt:lpstr>
      <vt:lpstr>RESPALDO BATEAS</vt:lpstr>
      <vt:lpstr>RESPALDO RESIDUOS</vt:lpstr>
      <vt:lpstr>PROYECCION_RESIDUOS</vt:lpstr>
      <vt:lpstr>INFRAESTRUCTURA</vt:lpstr>
      <vt:lpstr>ESCENARIOS</vt:lpstr>
      <vt:lpstr>DISTRIBUCION_INFRAESTRUCTURA</vt:lpstr>
      <vt:lpstr>FUTUROS_RELLENOS</vt:lpstr>
      <vt:lpstr>PARAMETROS</vt:lpstr>
      <vt:lpstr>DISTANCIAS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Martinez</cp:lastModifiedBy>
  <dcterms:created xsi:type="dcterms:W3CDTF">2026-06-11T22:43:40Z</dcterms:created>
  <dcterms:modified xsi:type="dcterms:W3CDTF">2026-06-11T22:43:40Z</dcterms:modified>
</cp:coreProperties>
</file>