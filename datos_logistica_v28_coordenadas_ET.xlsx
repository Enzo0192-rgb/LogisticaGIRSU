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3" activeTab="10" autoFilterDateGrouping="1"/>
  </bookViews>
  <sheets>
    <sheet xmlns:r="http://schemas.openxmlformats.org/officeDocument/2006/relationships" name="BATEAS" sheetId="1" state="visible" r:id="rId1"/>
    <sheet xmlns:r="http://schemas.openxmlformats.org/officeDocument/2006/relationships" name="RESIDUOS" sheetId="2" state="visible" r:id="rId2"/>
    <sheet xmlns:r="http://schemas.openxmlformats.org/officeDocument/2006/relationships" name="RESPALDO BATEAS" sheetId="3" state="visible" r:id="rId3"/>
    <sheet xmlns:r="http://schemas.openxmlformats.org/officeDocument/2006/relationships" name="RESPALDO RESIDUOS" sheetId="4" state="visible" r:id="rId4"/>
    <sheet xmlns:r="http://schemas.openxmlformats.org/officeDocument/2006/relationships" name="PROYECCION_RESIDUOS" sheetId="5" state="visible" r:id="rId5"/>
    <sheet xmlns:r="http://schemas.openxmlformats.org/officeDocument/2006/relationships" name="INFRAESTRUCTURA" sheetId="6" state="visible" r:id="rId6"/>
    <sheet xmlns:r="http://schemas.openxmlformats.org/officeDocument/2006/relationships" name="ESCENARIOS" sheetId="7" state="visible" r:id="rId7"/>
    <sheet xmlns:r="http://schemas.openxmlformats.org/officeDocument/2006/relationships" name="DISTRIBUCION_INFRAESTRUCTURA" sheetId="8" state="visible" r:id="rId8"/>
    <sheet xmlns:r="http://schemas.openxmlformats.org/officeDocument/2006/relationships" name="FUTUROS_RELLENOS" sheetId="9" state="visible" r:id="rId9"/>
    <sheet xmlns:r="http://schemas.openxmlformats.org/officeDocument/2006/relationships" name="PARAMETROS" sheetId="10" state="visible" r:id="rId10"/>
    <sheet xmlns:r="http://schemas.openxmlformats.org/officeDocument/2006/relationships" name="DISTANCIA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2">
    <font>
      <name val="Aptos Narrow"/>
      <color theme="1"/>
      <sz val="12"/>
    </font>
    <font>
      <name val="Arial"/>
      <family val="2"/>
      <b val="1"/>
      <color theme="1"/>
      <sz val="12"/>
    </font>
    <font>
      <name val="Aptos Narrow"/>
      <color theme="1"/>
      <sz val="12"/>
    </font>
    <font>
      <name val="Arial"/>
      <family val="2"/>
      <b val="1"/>
      <color rgb="FF1F1F1F"/>
      <sz val="12"/>
    </font>
    <font>
      <name val="Arial"/>
      <family val="2"/>
      <color theme="1"/>
      <sz val="12"/>
    </font>
    <font>
      <name val="Arial"/>
      <family val="2"/>
      <color rgb="FF1F1F1F"/>
      <sz val="12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Aptos Narrow"/>
      <sz val="12"/>
    </font>
    <font>
      <name val="Aptos Narrow"/>
      <sz val="12"/>
    </font>
    <font>
      <name val="Aptos Narrow"/>
      <b val="1"/>
      <color theme="1"/>
      <sz val="12"/>
    </font>
    <font>
      <name val="Aptos Narrow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2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" fontId="2" fillId="0" borderId="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1" fontId="6" fillId="0" borderId="5" applyAlignment="1" pivotButton="0" quotePrefix="0" xfId="0">
      <alignment horizontal="center"/>
    </xf>
    <xf numFmtId="10" fontId="6" fillId="0" borderId="7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1" fontId="6" fillId="0" borderId="7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1" fontId="6" fillId="0" borderId="9" applyAlignment="1" pivotButton="0" quotePrefix="0" xfId="0">
      <alignment horizontal="center"/>
    </xf>
    <xf numFmtId="10" fontId="6" fillId="0" borderId="10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1" fontId="6" fillId="0" borderId="10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1" fontId="2" fillId="0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1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4" fontId="0" fillId="0" borderId="0" applyAlignment="1" pivotButton="0" quotePrefix="0" xfId="0">
      <alignment horizontal="center"/>
    </xf>
    <xf numFmtId="0" fontId="1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aDistancias" displayName="TablaDistancias" ref="A1:P37" headerRowCount="1">
  <tableColumns count="16">
    <tableColumn id="1" name="TIPO_FLUJO"/>
    <tableColumn id="2" name="ORIGEN_ID"/>
    <tableColumn id="3" name="ORIGEN"/>
    <tableColumn id="4" name="ORIGEN_TIPO"/>
    <tableColumn id="5" name="ORIGEN_LAT"/>
    <tableColumn id="6" name="ORIGEN_LON"/>
    <tableColumn id="7" name="DESTINO_ID"/>
    <tableColumn id="8" name="DESTINO"/>
    <tableColumn id="9" name="DESTINO_TIPO"/>
    <tableColumn id="10" name="DESTINO_LAT"/>
    <tableColumn id="11" name="DESTINO_LON"/>
    <tableColumn id="12" name="KM_LINEAL"/>
    <tableColumn id="13" name="FACTOR_RUTA"/>
    <tableColumn id="14" name="KM_OPERATIVO"/>
    <tableColumn id="15" name="KM_RUTA_REAL"/>
    <tableColumn id="16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10" defaultRowHeight="16"/>
  <cols>
    <col width="29.5" customWidth="1" min="1" max="1"/>
    <col width="17.1640625" customWidth="1" style="8" min="2" max="2"/>
    <col width="10.1640625" customWidth="1" style="8" min="3" max="3"/>
    <col width="14" customWidth="1" style="8" min="4" max="4"/>
  </cols>
  <sheetData>
    <row r="1">
      <c r="A1" s="31" t="inlineStr">
        <is>
          <t>BATEAS</t>
        </is>
      </c>
      <c r="B1" s="4" t="n"/>
      <c r="C1" s="4" t="n"/>
      <c r="D1" s="4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Demanda Diaria actual</t>
        </is>
      </c>
      <c r="B2" s="5" t="n">
        <v>600</v>
      </c>
      <c r="C2" s="5" t="inlineStr">
        <is>
          <t>toneladas</t>
        </is>
      </c>
      <c r="D2" s="4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2" t="inlineStr">
        <is>
          <t>Capacidad Batea</t>
        </is>
      </c>
      <c r="B3" s="6" t="n">
        <v>30</v>
      </c>
      <c r="C3" s="5" t="inlineStr">
        <is>
          <t>toneladas</t>
        </is>
      </c>
      <c r="D3" s="4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2" t="inlineStr">
        <is>
          <t>Viajes Totales (Día)</t>
        </is>
      </c>
      <c r="B4" s="4" t="n">
        <v>20</v>
      </c>
      <c r="C4" s="5" t="inlineStr">
        <is>
          <t>viajes</t>
        </is>
      </c>
      <c r="D4" s="4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2" t="inlineStr">
        <is>
          <t>Viajes por Turno</t>
        </is>
      </c>
      <c r="B5" s="4" t="n">
        <v>10</v>
      </c>
      <c r="C5" s="5" t="inlineStr">
        <is>
          <t>viajes</t>
        </is>
      </c>
      <c r="D5" s="4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2" t="inlineStr">
        <is>
          <t>Consumo Cargado</t>
        </is>
      </c>
      <c r="B6" s="6" t="n">
        <v>0.52</v>
      </c>
      <c r="C6" s="5" t="inlineStr">
        <is>
          <t>litros/km</t>
        </is>
      </c>
      <c r="D6" s="4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2" t="inlineStr">
        <is>
          <t>Consumo Vacío</t>
        </is>
      </c>
      <c r="B7" s="6" t="n">
        <v>0.3</v>
      </c>
      <c r="C7" s="5" t="inlineStr">
        <is>
          <t>litros/km</t>
        </is>
      </c>
      <c r="D7" s="4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2" t="inlineStr">
        <is>
          <t>Jornada Laboral</t>
        </is>
      </c>
      <c r="B8" s="5" t="n">
        <v>480</v>
      </c>
      <c r="C8" s="5" t="inlineStr">
        <is>
          <t>minutos</t>
        </is>
      </c>
      <c r="D8" s="4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4" t="n"/>
      <c r="C9" s="4" t="n"/>
      <c r="D9" s="4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0" t="inlineStr">
        <is>
          <t>ORIGEN</t>
        </is>
      </c>
      <c r="B10" s="7" t="inlineStr">
        <is>
          <t>ET</t>
        </is>
      </c>
      <c r="C10" s="4" t="n"/>
      <c r="D10" s="4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2" t="inlineStr">
        <is>
          <t>Latitud</t>
        </is>
      </c>
      <c r="B11" s="6" t="n">
        <v>-31.6</v>
      </c>
      <c r="C11" s="4" t="n"/>
      <c r="D11" s="4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2" t="inlineStr">
        <is>
          <t>Longitud</t>
        </is>
      </c>
      <c r="B12" s="6" t="n">
        <v>-60.75</v>
      </c>
      <c r="C12" s="4" t="n"/>
      <c r="D12" s="4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4" t="n"/>
      <c r="C13" s="4" t="n"/>
      <c r="D13" s="4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0" t="inlineStr">
        <is>
          <t>DESTINO</t>
        </is>
      </c>
      <c r="B14" s="7" t="inlineStr">
        <is>
          <t>Emp. San Carlos</t>
        </is>
      </c>
      <c r="C14" s="7" t="inlineStr">
        <is>
          <t>Oeste</t>
        </is>
      </c>
      <c r="D14" s="7" t="inlineStr">
        <is>
          <t>Recreo Norte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2" t="inlineStr">
        <is>
          <t>Latitud</t>
        </is>
      </c>
      <c r="B15" s="6" t="n">
        <v>-31.54</v>
      </c>
      <c r="C15" s="6" t="n">
        <v>-31.68</v>
      </c>
      <c r="D15" s="6" t="n">
        <v>-31.47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2" t="inlineStr">
        <is>
          <t>Longitud</t>
        </is>
      </c>
      <c r="B16" s="6" t="n">
        <v>-60.81</v>
      </c>
      <c r="C16" s="6" t="n">
        <v>-60.86</v>
      </c>
      <c r="D16" s="6" t="n">
        <v>-60.76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2" t="inlineStr">
        <is>
          <t>Dist. Ida (km)</t>
        </is>
      </c>
      <c r="B17" s="6" t="n">
        <v>22</v>
      </c>
      <c r="C17" s="6" t="n">
        <v>20</v>
      </c>
      <c r="D17" s="6" t="n">
        <v>15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2" t="inlineStr">
        <is>
          <t>Dist. total (km)</t>
        </is>
      </c>
      <c r="B18" s="4">
        <f>B17*2</f>
        <v/>
      </c>
      <c r="C18" s="4">
        <f>C17*2</f>
        <v/>
      </c>
      <c r="D18" s="4">
        <f>D17*2</f>
        <v/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2" t="inlineStr">
        <is>
          <t>Tiempo Ida (min)</t>
        </is>
      </c>
      <c r="B19" s="6" t="n">
        <v>35</v>
      </c>
      <c r="C19" s="6" t="n">
        <v>19</v>
      </c>
      <c r="D19" s="6" t="n">
        <v>14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2" t="inlineStr">
        <is>
          <t>Tiempo Vuelta (min)</t>
        </is>
      </c>
      <c r="B20" s="6" t="n">
        <v>30</v>
      </c>
      <c r="C20" s="6" t="n">
        <v>14</v>
      </c>
      <c r="D20" s="6" t="n">
        <v>12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2" t="inlineStr">
        <is>
          <t>Carga (min)</t>
        </is>
      </c>
      <c r="B21" s="6" t="n">
        <v>40</v>
      </c>
      <c r="C21" s="6" t="n">
        <v>40</v>
      </c>
      <c r="D21" s="6" t="n">
        <v>40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2" t="inlineStr">
        <is>
          <t>Descarga (min)</t>
        </is>
      </c>
      <c r="B22" s="6" t="n">
        <v>20</v>
      </c>
      <c r="C22" s="6" t="n">
        <v>20</v>
      </c>
      <c r="D22" s="6" t="n">
        <v>20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2" t="inlineStr">
        <is>
          <t>Ciclo Total (min)</t>
        </is>
      </c>
      <c r="B23" s="4">
        <f>SUM(B19:B22)</f>
        <v/>
      </c>
      <c r="C23" s="4">
        <f>SUM(C19:C22)</f>
        <v/>
      </c>
      <c r="D23" s="4">
        <f>SUM(D19:D22)</f>
        <v/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2" t="inlineStr">
        <is>
          <t>Viajes Posibles</t>
        </is>
      </c>
      <c r="B24" s="12">
        <f>B8/B23</f>
        <v/>
      </c>
      <c r="C24" s="12">
        <f>B8/C23</f>
        <v/>
      </c>
      <c r="D24" s="12">
        <f>B8/D23</f>
        <v/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2" t="inlineStr">
        <is>
          <t>Toneladas por Camión/Turno</t>
        </is>
      </c>
      <c r="B25" s="12">
        <f>B24*$B$3</f>
        <v/>
      </c>
      <c r="C25" s="12">
        <f>C24*$B$3</f>
        <v/>
      </c>
      <c r="D25" s="12">
        <f>D24*$B$3</f>
        <v/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2" t="inlineStr">
        <is>
          <t>Camiones para 300 t (Turno)</t>
        </is>
      </c>
      <c r="B26" s="12">
        <f>B2/2/$B$25</f>
        <v/>
      </c>
      <c r="C26" s="12" t="n">
        <v>1.94</v>
      </c>
      <c r="D26" s="12" t="n">
        <v>1.79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2" t="inlineStr">
        <is>
          <t>Consumo Ciclo (L)</t>
        </is>
      </c>
      <c r="B27" s="4">
        <f>(B17*$B$6)+(B17*$B$7)</f>
        <v/>
      </c>
      <c r="C27" s="4">
        <f>(C17*$B$6)+(C17*$B$7)</f>
        <v/>
      </c>
      <c r="D27" s="4">
        <f>(D17*$B$6)+(D17*$B$7)</f>
        <v/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4" t="n"/>
      <c r="C28" s="4" t="n"/>
      <c r="D28" s="4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4" t="n"/>
      <c r="C29" s="4" t="n"/>
      <c r="D29" s="4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4" t="n"/>
      <c r="C30" s="4" t="n"/>
      <c r="D30" s="4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4" t="n"/>
      <c r="C31" s="4" t="n"/>
      <c r="D31" s="4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4" t="n"/>
      <c r="C32" s="4" t="n"/>
      <c r="D32" s="4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4" t="n"/>
      <c r="C33" s="4" t="n"/>
      <c r="D33" s="4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4" t="n"/>
      <c r="C34" s="4" t="n"/>
      <c r="D34" s="4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4" t="n"/>
      <c r="C35" s="4" t="n"/>
      <c r="D35" s="4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4" t="n"/>
      <c r="C36" s="4" t="n"/>
      <c r="D36" s="4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4" t="n"/>
      <c r="C37" s="4" t="n"/>
      <c r="D37" s="4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4" t="n"/>
      <c r="C38" s="4" t="n"/>
      <c r="D38" s="4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4" t="n"/>
      <c r="C39" s="4" t="n"/>
      <c r="D39" s="4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4" t="n"/>
      <c r="C40" s="4" t="n"/>
      <c r="D40" s="4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4" t="n"/>
      <c r="C41" s="4" t="n"/>
      <c r="D41" s="4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4" t="n"/>
      <c r="C42" s="4" t="n"/>
      <c r="D42" s="4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4" t="n"/>
      <c r="C43" s="4" t="n"/>
      <c r="D43" s="4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4" t="n"/>
      <c r="C44" s="4" t="n"/>
      <c r="D44" s="4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4" t="n"/>
      <c r="C45" s="4" t="n"/>
      <c r="D45" s="4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4" t="n"/>
      <c r="C46" s="4" t="n"/>
      <c r="D46" s="4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4" t="n"/>
      <c r="C47" s="4" t="n"/>
      <c r="D47" s="4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4" t="n"/>
      <c r="C48" s="4" t="n"/>
      <c r="D48" s="4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4" t="n"/>
      <c r="C49" s="4" t="n"/>
      <c r="D49" s="4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4" t="n"/>
      <c r="C50" s="4" t="n"/>
      <c r="D50" s="4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4" t="n"/>
      <c r="C51" s="4" t="n"/>
      <c r="D51" s="4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4" t="n"/>
      <c r="C52" s="4" t="n"/>
      <c r="D52" s="4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4" t="n"/>
      <c r="C53" s="4" t="n"/>
      <c r="D53" s="4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4" t="n"/>
      <c r="C54" s="4" t="n"/>
      <c r="D54" s="4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4" t="n"/>
      <c r="C55" s="4" t="n"/>
      <c r="D55" s="4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4" t="n"/>
      <c r="C56" s="4" t="n"/>
      <c r="D56" s="4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4" t="n"/>
      <c r="C57" s="4" t="n"/>
      <c r="D57" s="4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4" t="n"/>
      <c r="C58" s="4" t="n"/>
      <c r="D58" s="4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4" t="n"/>
      <c r="C59" s="4" t="n"/>
      <c r="D59" s="4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4" t="n"/>
      <c r="C60" s="4" t="n"/>
      <c r="D60" s="4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4" t="n"/>
      <c r="C61" s="4" t="n"/>
      <c r="D61" s="4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4" t="n"/>
      <c r="C62" s="4" t="n"/>
      <c r="D62" s="4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4" t="n"/>
      <c r="C63" s="4" t="n"/>
      <c r="D63" s="4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4" t="n"/>
      <c r="C64" s="4" t="n"/>
      <c r="D64" s="4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4" t="n"/>
      <c r="C65" s="4" t="n"/>
      <c r="D65" s="4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4" t="n"/>
      <c r="C66" s="4" t="n"/>
      <c r="D66" s="4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4" t="n"/>
      <c r="C67" s="4" t="n"/>
      <c r="D67" s="4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4" t="n"/>
      <c r="C68" s="4" t="n"/>
      <c r="D68" s="4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4" t="n"/>
      <c r="C69" s="4" t="n"/>
      <c r="D69" s="4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4" t="n"/>
      <c r="C70" s="4" t="n"/>
      <c r="D70" s="4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4" t="n"/>
      <c r="C71" s="4" t="n"/>
      <c r="D71" s="4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4" t="n"/>
      <c r="C72" s="4" t="n"/>
      <c r="D72" s="4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4" t="n"/>
      <c r="C73" s="4" t="n"/>
      <c r="D73" s="4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4" t="n"/>
      <c r="C74" s="4" t="n"/>
      <c r="D74" s="4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4" t="n"/>
      <c r="C75" s="4" t="n"/>
      <c r="D75" s="4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4" t="n"/>
      <c r="C76" s="4" t="n"/>
      <c r="D76" s="4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4" t="n"/>
      <c r="C77" s="4" t="n"/>
      <c r="D77" s="4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4" t="n"/>
      <c r="C78" s="4" t="n"/>
      <c r="D78" s="4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4" t="n"/>
      <c r="C79" s="4" t="n"/>
      <c r="D79" s="4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4" t="n"/>
      <c r="C80" s="4" t="n"/>
      <c r="D80" s="4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4" t="n"/>
      <c r="C81" s="4" t="n"/>
      <c r="D81" s="4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4" t="n"/>
      <c r="C82" s="4" t="n"/>
      <c r="D82" s="4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4" t="n"/>
      <c r="C83" s="4" t="n"/>
      <c r="D83" s="4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4" t="n"/>
      <c r="C84" s="4" t="n"/>
      <c r="D84" s="4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4" t="n"/>
      <c r="C85" s="4" t="n"/>
      <c r="D85" s="4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4" t="n"/>
      <c r="C86" s="4" t="n"/>
      <c r="D86" s="4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4" t="n"/>
      <c r="C87" s="4" t="n"/>
      <c r="D87" s="4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4" t="n"/>
      <c r="C88" s="4" t="n"/>
      <c r="D88" s="4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4" t="n"/>
      <c r="C89" s="4" t="n"/>
      <c r="D89" s="4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4" t="n"/>
      <c r="C90" s="4" t="n"/>
      <c r="D90" s="4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4" t="n"/>
      <c r="C91" s="4" t="n"/>
      <c r="D91" s="4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4" t="n"/>
      <c r="C92" s="4" t="n"/>
      <c r="D92" s="4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4" t="n"/>
      <c r="C93" s="4" t="n"/>
      <c r="D93" s="4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4" t="n"/>
      <c r="C94" s="4" t="n"/>
      <c r="D94" s="4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4" t="n"/>
      <c r="C95" s="4" t="n"/>
      <c r="D95" s="4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4" t="n"/>
      <c r="C96" s="4" t="n"/>
      <c r="D96" s="4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4" t="n"/>
      <c r="C97" s="4" t="n"/>
      <c r="D97" s="4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4" t="n"/>
      <c r="C98" s="4" t="n"/>
      <c r="D98" s="4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4" t="n"/>
      <c r="C99" s="4" t="n"/>
      <c r="D99" s="4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4" t="n"/>
      <c r="C100" s="4" t="n"/>
      <c r="D100" s="4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4" t="n"/>
      <c r="C101" s="4" t="n"/>
      <c r="D101" s="4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4" t="n"/>
      <c r="C102" s="4" t="n"/>
      <c r="D102" s="4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4" t="n"/>
      <c r="C103" s="4" t="n"/>
      <c r="D103" s="4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4" t="n"/>
      <c r="C104" s="4" t="n"/>
      <c r="D104" s="4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4" t="n"/>
      <c r="C105" s="4" t="n"/>
      <c r="D105" s="4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4" t="n"/>
      <c r="C106" s="4" t="n"/>
      <c r="D106" s="4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4" t="n"/>
      <c r="C107" s="4" t="n"/>
      <c r="D107" s="4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4" t="n"/>
      <c r="C108" s="4" t="n"/>
      <c r="D108" s="4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4" t="n"/>
      <c r="C109" s="4" t="n"/>
      <c r="D109" s="4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4" t="n"/>
      <c r="C110" s="4" t="n"/>
      <c r="D110" s="4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4" t="n"/>
      <c r="C111" s="4" t="n"/>
      <c r="D111" s="4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4" t="n"/>
      <c r="C112" s="4" t="n"/>
      <c r="D112" s="4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4" t="n"/>
      <c r="C113" s="4" t="n"/>
      <c r="D113" s="4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4" t="n"/>
      <c r="C114" s="4" t="n"/>
      <c r="D114" s="4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4" t="n"/>
      <c r="C115" s="4" t="n"/>
      <c r="D115" s="4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4" t="n"/>
      <c r="C116" s="4" t="n"/>
      <c r="D116" s="4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4" t="n"/>
      <c r="C117" s="4" t="n"/>
      <c r="D117" s="4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4" t="n"/>
      <c r="C118" s="4" t="n"/>
      <c r="D118" s="4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4" t="n"/>
      <c r="C119" s="4" t="n"/>
      <c r="D119" s="4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4" t="n"/>
      <c r="C120" s="4" t="n"/>
      <c r="D120" s="4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4" t="n"/>
      <c r="C121" s="4" t="n"/>
      <c r="D121" s="4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4" t="n"/>
      <c r="C122" s="4" t="n"/>
      <c r="D122" s="4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4" t="n"/>
      <c r="C123" s="4" t="n"/>
      <c r="D123" s="4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4" t="n"/>
      <c r="C124" s="4" t="n"/>
      <c r="D124" s="4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4" t="n"/>
      <c r="C125" s="4" t="n"/>
      <c r="D125" s="4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4" t="n"/>
      <c r="C126" s="4" t="n"/>
      <c r="D126" s="4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4" t="n"/>
      <c r="C127" s="4" t="n"/>
      <c r="D127" s="4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4" t="n"/>
      <c r="C128" s="4" t="n"/>
      <c r="D128" s="4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4" t="n"/>
      <c r="C129" s="4" t="n"/>
      <c r="D129" s="4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4" t="n"/>
      <c r="C130" s="4" t="n"/>
      <c r="D130" s="4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4" t="n"/>
      <c r="C131" s="4" t="n"/>
      <c r="D131" s="4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4" t="n"/>
      <c r="C132" s="4" t="n"/>
      <c r="D132" s="4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4" t="n"/>
      <c r="C133" s="4" t="n"/>
      <c r="D133" s="4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4" t="n"/>
      <c r="C134" s="4" t="n"/>
      <c r="D134" s="4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4" t="n"/>
      <c r="C135" s="4" t="n"/>
      <c r="D135" s="4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4" t="n"/>
      <c r="C136" s="4" t="n"/>
      <c r="D136" s="4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4" t="n"/>
      <c r="C137" s="4" t="n"/>
      <c r="D137" s="4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4" t="n"/>
      <c r="C138" s="4" t="n"/>
      <c r="D138" s="4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4" t="n"/>
      <c r="C139" s="4" t="n"/>
      <c r="D139" s="4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4" t="n"/>
      <c r="C140" s="4" t="n"/>
      <c r="D140" s="4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4" t="n"/>
      <c r="C141" s="4" t="n"/>
      <c r="D141" s="4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4" t="n"/>
      <c r="C142" s="4" t="n"/>
      <c r="D142" s="4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4" t="n"/>
      <c r="C143" s="4" t="n"/>
      <c r="D143" s="4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4" t="n"/>
      <c r="C144" s="4" t="n"/>
      <c r="D144" s="4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4" t="n"/>
      <c r="C145" s="4" t="n"/>
      <c r="D145" s="4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4" t="n"/>
      <c r="C146" s="4" t="n"/>
      <c r="D146" s="4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4" t="n"/>
      <c r="C147" s="4" t="n"/>
      <c r="D147" s="4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4" t="n"/>
      <c r="C148" s="4" t="n"/>
      <c r="D148" s="4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4" t="n"/>
      <c r="C149" s="4" t="n"/>
      <c r="D149" s="4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4" t="n"/>
      <c r="C150" s="4" t="n"/>
      <c r="D150" s="4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4" t="n"/>
      <c r="C151" s="4" t="n"/>
      <c r="D151" s="4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4" t="n"/>
      <c r="C152" s="4" t="n"/>
      <c r="D152" s="4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4" t="n"/>
      <c r="C153" s="4" t="n"/>
      <c r="D153" s="4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4" t="n"/>
      <c r="C154" s="4" t="n"/>
      <c r="D154" s="4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4" t="n"/>
      <c r="C155" s="4" t="n"/>
      <c r="D155" s="4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4" t="n"/>
      <c r="C156" s="4" t="n"/>
      <c r="D156" s="4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4" t="n"/>
      <c r="C157" s="4" t="n"/>
      <c r="D157" s="4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4" t="n"/>
      <c r="C158" s="4" t="n"/>
      <c r="D158" s="4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4" t="n"/>
      <c r="C159" s="4" t="n"/>
      <c r="D159" s="4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4" t="n"/>
      <c r="C160" s="4" t="n"/>
      <c r="D160" s="4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4" t="n"/>
      <c r="C161" s="4" t="n"/>
      <c r="D161" s="4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4" t="n"/>
      <c r="C162" s="4" t="n"/>
      <c r="D162" s="4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4" t="n"/>
      <c r="C163" s="4" t="n"/>
      <c r="D163" s="4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4" t="n"/>
      <c r="C164" s="4" t="n"/>
      <c r="D164" s="4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4" t="n"/>
      <c r="C165" s="4" t="n"/>
      <c r="D165" s="4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4" t="n"/>
      <c r="C166" s="4" t="n"/>
      <c r="D166" s="4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4" t="n"/>
      <c r="C167" s="4" t="n"/>
      <c r="D167" s="4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4" t="n"/>
      <c r="C168" s="4" t="n"/>
      <c r="D168" s="4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4" t="n"/>
      <c r="C169" s="4" t="n"/>
      <c r="D169" s="4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4" t="n"/>
      <c r="C170" s="4" t="n"/>
      <c r="D170" s="4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4" t="n"/>
      <c r="C171" s="4" t="n"/>
      <c r="D171" s="4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4" t="n"/>
      <c r="C172" s="4" t="n"/>
      <c r="D172" s="4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4" t="n"/>
      <c r="C173" s="4" t="n"/>
      <c r="D173" s="4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4" t="n"/>
      <c r="C174" s="4" t="n"/>
      <c r="D174" s="4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4" t="n"/>
      <c r="C175" s="4" t="n"/>
      <c r="D175" s="4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4" t="n"/>
      <c r="C176" s="4" t="n"/>
      <c r="D176" s="4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4" t="n"/>
      <c r="C177" s="4" t="n"/>
      <c r="D177" s="4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4" t="n"/>
      <c r="C178" s="4" t="n"/>
      <c r="D178" s="4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4" t="n"/>
      <c r="C179" s="4" t="n"/>
      <c r="D179" s="4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4" t="n"/>
      <c r="C180" s="4" t="n"/>
      <c r="D180" s="4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4" t="n"/>
      <c r="C181" s="4" t="n"/>
      <c r="D181" s="4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4" t="n"/>
      <c r="C182" s="4" t="n"/>
      <c r="D182" s="4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4" t="n"/>
      <c r="C183" s="4" t="n"/>
      <c r="D183" s="4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4" t="n"/>
      <c r="C184" s="4" t="n"/>
      <c r="D184" s="4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4" t="n"/>
      <c r="C185" s="4" t="n"/>
      <c r="D185" s="4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4" t="n"/>
      <c r="C186" s="4" t="n"/>
      <c r="D186" s="4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4" t="n"/>
      <c r="C187" s="4" t="n"/>
      <c r="D187" s="4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4" t="n"/>
      <c r="C188" s="4" t="n"/>
      <c r="D188" s="4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4" t="n"/>
      <c r="C189" s="4" t="n"/>
      <c r="D189" s="4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4" t="n"/>
      <c r="C190" s="4" t="n"/>
      <c r="D190" s="4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4" t="n"/>
      <c r="C191" s="4" t="n"/>
      <c r="D191" s="4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4" t="n"/>
      <c r="C192" s="4" t="n"/>
      <c r="D192" s="4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4" t="n"/>
      <c r="C193" s="4" t="n"/>
      <c r="D193" s="4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4" t="n"/>
      <c r="C194" s="4" t="n"/>
      <c r="D194" s="4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4" t="n"/>
      <c r="C195" s="4" t="n"/>
      <c r="D195" s="4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4" t="n"/>
      <c r="C196" s="4" t="n"/>
      <c r="D196" s="4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4" t="n"/>
      <c r="C197" s="4" t="n"/>
      <c r="D197" s="4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4" t="n"/>
      <c r="C198" s="4" t="n"/>
      <c r="D198" s="4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4" t="n"/>
      <c r="C199" s="4" t="n"/>
      <c r="D199" s="4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4" t="n"/>
      <c r="C200" s="4" t="n"/>
      <c r="D200" s="4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4" t="n"/>
      <c r="C201" s="4" t="n"/>
      <c r="D201" s="4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4" t="n"/>
      <c r="C202" s="4" t="n"/>
      <c r="D202" s="4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4" t="n"/>
      <c r="C203" s="4" t="n"/>
      <c r="D203" s="4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4" t="n"/>
      <c r="C204" s="4" t="n"/>
      <c r="D204" s="4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4" t="n"/>
      <c r="C205" s="4" t="n"/>
      <c r="D205" s="4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4" t="n"/>
      <c r="C206" s="4" t="n"/>
      <c r="D206" s="4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4" t="n"/>
      <c r="C207" s="4" t="n"/>
      <c r="D207" s="4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4" t="n"/>
      <c r="C208" s="4" t="n"/>
      <c r="D208" s="4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4" t="n"/>
      <c r="C209" s="4" t="n"/>
      <c r="D209" s="4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4" t="n"/>
      <c r="C210" s="4" t="n"/>
      <c r="D210" s="4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4" t="n"/>
      <c r="C211" s="4" t="n"/>
      <c r="D211" s="4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4" t="n"/>
      <c r="C212" s="4" t="n"/>
      <c r="D212" s="4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4" t="n"/>
      <c r="C213" s="4" t="n"/>
      <c r="D213" s="4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4" t="n"/>
      <c r="C214" s="4" t="n"/>
      <c r="D214" s="4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4" t="n"/>
      <c r="C215" s="4" t="n"/>
      <c r="D215" s="4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4" t="n"/>
      <c r="C216" s="4" t="n"/>
      <c r="D216" s="4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4" t="n"/>
      <c r="C217" s="4" t="n"/>
      <c r="D217" s="4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4" t="n"/>
      <c r="C218" s="4" t="n"/>
      <c r="D218" s="4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4" t="n"/>
      <c r="C219" s="4" t="n"/>
      <c r="D219" s="4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4" t="n"/>
      <c r="C220" s="4" t="n"/>
      <c r="D220" s="4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4" t="n"/>
      <c r="C221" s="4" t="n"/>
      <c r="D221" s="4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4" t="n"/>
      <c r="C222" s="4" t="n"/>
      <c r="D222" s="4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4" t="n"/>
      <c r="C223" s="4" t="n"/>
      <c r="D223" s="4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4" t="n"/>
      <c r="C224" s="4" t="n"/>
      <c r="D224" s="4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4" t="n"/>
      <c r="C225" s="4" t="n"/>
      <c r="D225" s="4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4" t="n"/>
      <c r="C226" s="4" t="n"/>
      <c r="D226" s="4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4" t="n"/>
      <c r="C227" s="4" t="n"/>
      <c r="D227" s="4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4" t="n"/>
      <c r="C228" s="4" t="n"/>
      <c r="D228" s="4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4" t="n"/>
      <c r="C229" s="4" t="n"/>
      <c r="D229" s="4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4" t="n"/>
      <c r="C230" s="4" t="n"/>
      <c r="D230" s="4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4" t="n"/>
      <c r="C231" s="4" t="n"/>
      <c r="D231" s="4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4" t="n"/>
      <c r="C232" s="4" t="n"/>
      <c r="D232" s="4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4" t="n"/>
      <c r="C233" s="4" t="n"/>
      <c r="D233" s="4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4" t="n"/>
      <c r="C234" s="4" t="n"/>
      <c r="D234" s="4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4" t="n"/>
      <c r="C235" s="4" t="n"/>
      <c r="D235" s="4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4" t="n"/>
      <c r="C236" s="4" t="n"/>
      <c r="D236" s="4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4" t="n"/>
      <c r="C237" s="4" t="n"/>
      <c r="D237" s="4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4" t="n"/>
      <c r="C238" s="4" t="n"/>
      <c r="D238" s="4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4" t="n"/>
      <c r="C239" s="4" t="n"/>
      <c r="D239" s="4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4" t="n"/>
      <c r="C240" s="4" t="n"/>
      <c r="D240" s="4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4" t="n"/>
      <c r="C241" s="4" t="n"/>
      <c r="D241" s="4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4" t="n"/>
      <c r="C242" s="4" t="n"/>
      <c r="D242" s="4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4" t="n"/>
      <c r="C243" s="4" t="n"/>
      <c r="D243" s="4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4" t="n"/>
      <c r="C244" s="4" t="n"/>
      <c r="D244" s="4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4" t="n"/>
      <c r="C245" s="4" t="n"/>
      <c r="D245" s="4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4" t="n"/>
      <c r="C246" s="4" t="n"/>
      <c r="D246" s="4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4" t="n"/>
      <c r="C247" s="4" t="n"/>
      <c r="D247" s="4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4" t="n"/>
      <c r="C248" s="4" t="n"/>
      <c r="D248" s="4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4" t="n"/>
      <c r="C249" s="4" t="n"/>
      <c r="D249" s="4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4" t="n"/>
      <c r="C250" s="4" t="n"/>
      <c r="D250" s="4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4" t="n"/>
      <c r="C251" s="4" t="n"/>
      <c r="D251" s="4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4" t="n"/>
      <c r="C252" s="4" t="n"/>
      <c r="D252" s="4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4" t="n"/>
      <c r="C253" s="4" t="n"/>
      <c r="D253" s="4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4" t="n"/>
      <c r="C254" s="4" t="n"/>
      <c r="D254" s="4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4" t="n"/>
      <c r="C255" s="4" t="n"/>
      <c r="D255" s="4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4" t="n"/>
      <c r="C256" s="4" t="n"/>
      <c r="D256" s="4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4" t="n"/>
      <c r="C257" s="4" t="n"/>
      <c r="D257" s="4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4" t="n"/>
      <c r="C258" s="4" t="n"/>
      <c r="D258" s="4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4" t="n"/>
      <c r="C259" s="4" t="n"/>
      <c r="D259" s="4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4" t="n"/>
      <c r="C260" s="4" t="n"/>
      <c r="D260" s="4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4" t="n"/>
      <c r="C261" s="4" t="n"/>
      <c r="D261" s="4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4" t="n"/>
      <c r="C262" s="4" t="n"/>
      <c r="D262" s="4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4" t="n"/>
      <c r="C263" s="4" t="n"/>
      <c r="D263" s="4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4" t="n"/>
      <c r="C264" s="4" t="n"/>
      <c r="D264" s="4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4" t="n"/>
      <c r="C265" s="4" t="n"/>
      <c r="D265" s="4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4" t="n"/>
      <c r="C266" s="4" t="n"/>
      <c r="D266" s="4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4" t="n"/>
      <c r="C267" s="4" t="n"/>
      <c r="D267" s="4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4" t="n"/>
      <c r="C268" s="4" t="n"/>
      <c r="D268" s="4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4" t="n"/>
      <c r="C269" s="4" t="n"/>
      <c r="D269" s="4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4" t="n"/>
      <c r="C270" s="4" t="n"/>
      <c r="D270" s="4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4" t="n"/>
      <c r="C271" s="4" t="n"/>
      <c r="D271" s="4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4" t="n"/>
      <c r="C272" s="4" t="n"/>
      <c r="D272" s="4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4" t="n"/>
      <c r="C273" s="4" t="n"/>
      <c r="D273" s="4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4" t="n"/>
      <c r="C274" s="4" t="n"/>
      <c r="D274" s="4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4" t="n"/>
      <c r="C275" s="4" t="n"/>
      <c r="D275" s="4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4" t="n"/>
      <c r="C276" s="4" t="n"/>
      <c r="D276" s="4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4" t="n"/>
      <c r="C277" s="4" t="n"/>
      <c r="D277" s="4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4" t="n"/>
      <c r="C278" s="4" t="n"/>
      <c r="D278" s="4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4" t="n"/>
      <c r="C279" s="4" t="n"/>
      <c r="D279" s="4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4" t="n"/>
      <c r="C280" s="4" t="n"/>
      <c r="D280" s="4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4" t="n"/>
      <c r="C281" s="4" t="n"/>
      <c r="D281" s="4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4" t="n"/>
      <c r="C282" s="4" t="n"/>
      <c r="D282" s="4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4" t="n"/>
      <c r="C283" s="4" t="n"/>
      <c r="D283" s="4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4" t="n"/>
      <c r="C284" s="4" t="n"/>
      <c r="D284" s="4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4" t="n"/>
      <c r="C285" s="4" t="n"/>
      <c r="D285" s="4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4" t="n"/>
      <c r="C286" s="4" t="n"/>
      <c r="D286" s="4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4" t="n"/>
      <c r="C287" s="4" t="n"/>
      <c r="D287" s="4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4" t="n"/>
      <c r="C288" s="4" t="n"/>
      <c r="D288" s="4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4" t="n"/>
      <c r="C289" s="4" t="n"/>
      <c r="D289" s="4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4" t="n"/>
      <c r="C290" s="4" t="n"/>
      <c r="D290" s="4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4" t="n"/>
      <c r="C291" s="4" t="n"/>
      <c r="D291" s="4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4" t="n"/>
      <c r="C292" s="4" t="n"/>
      <c r="D292" s="4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4" t="n"/>
      <c r="C293" s="4" t="n"/>
      <c r="D293" s="4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4" t="n"/>
      <c r="C294" s="4" t="n"/>
      <c r="D294" s="4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4" t="n"/>
      <c r="C295" s="4" t="n"/>
      <c r="D295" s="4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4" t="n"/>
      <c r="C296" s="4" t="n"/>
      <c r="D296" s="4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4" t="n"/>
      <c r="C297" s="4" t="n"/>
      <c r="D297" s="4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4" t="n"/>
      <c r="C298" s="4" t="n"/>
      <c r="D298" s="4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4" t="n"/>
      <c r="C299" s="4" t="n"/>
      <c r="D299" s="4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4" t="n"/>
      <c r="C300" s="4" t="n"/>
      <c r="D300" s="4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4" t="n"/>
      <c r="C301" s="4" t="n"/>
      <c r="D301" s="4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4" t="n"/>
      <c r="C302" s="4" t="n"/>
      <c r="D302" s="4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4" t="n"/>
      <c r="C303" s="4" t="n"/>
      <c r="D303" s="4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4" t="n"/>
      <c r="C304" s="4" t="n"/>
      <c r="D304" s="4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4" t="n"/>
      <c r="C305" s="4" t="n"/>
      <c r="D305" s="4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4" t="n"/>
      <c r="C306" s="4" t="n"/>
      <c r="D306" s="4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4" t="n"/>
      <c r="C307" s="4" t="n"/>
      <c r="D307" s="4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4" t="n"/>
      <c r="C308" s="4" t="n"/>
      <c r="D308" s="4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4" t="n"/>
      <c r="C309" s="4" t="n"/>
      <c r="D309" s="4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4" t="n"/>
      <c r="C310" s="4" t="n"/>
      <c r="D310" s="4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4" t="n"/>
      <c r="C311" s="4" t="n"/>
      <c r="D311" s="4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4" t="n"/>
      <c r="C312" s="4" t="n"/>
      <c r="D312" s="4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4" t="n"/>
      <c r="C313" s="4" t="n"/>
      <c r="D313" s="4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4" t="n"/>
      <c r="C314" s="4" t="n"/>
      <c r="D314" s="4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4" t="n"/>
      <c r="C315" s="4" t="n"/>
      <c r="D315" s="4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4" t="n"/>
      <c r="C316" s="4" t="n"/>
      <c r="D316" s="4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4" t="n"/>
      <c r="C317" s="4" t="n"/>
      <c r="D317" s="4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4" t="n"/>
      <c r="C318" s="4" t="n"/>
      <c r="D318" s="4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4" t="n"/>
      <c r="C319" s="4" t="n"/>
      <c r="D319" s="4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4" t="n"/>
      <c r="C320" s="4" t="n"/>
      <c r="D320" s="4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4" t="n"/>
      <c r="C321" s="4" t="n"/>
      <c r="D321" s="4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4" t="n"/>
      <c r="C322" s="4" t="n"/>
      <c r="D322" s="4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4" t="n"/>
      <c r="C323" s="4" t="n"/>
      <c r="D323" s="4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4" t="n"/>
      <c r="C324" s="4" t="n"/>
      <c r="D324" s="4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4" t="n"/>
      <c r="C325" s="4" t="n"/>
      <c r="D325" s="4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4" t="n"/>
      <c r="C326" s="4" t="n"/>
      <c r="D326" s="4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4" t="n"/>
      <c r="C327" s="4" t="n"/>
      <c r="D327" s="4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4" t="n"/>
      <c r="C328" s="4" t="n"/>
      <c r="D328" s="4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4" t="n"/>
      <c r="C329" s="4" t="n"/>
      <c r="D329" s="4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4" t="n"/>
      <c r="C330" s="4" t="n"/>
      <c r="D330" s="4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4" t="n"/>
      <c r="C331" s="4" t="n"/>
      <c r="D331" s="4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4" t="n"/>
      <c r="C332" s="4" t="n"/>
      <c r="D332" s="4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4" t="n"/>
      <c r="C333" s="4" t="n"/>
      <c r="D333" s="4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4" t="n"/>
      <c r="C334" s="4" t="n"/>
      <c r="D334" s="4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4" t="n"/>
      <c r="C335" s="4" t="n"/>
      <c r="D335" s="4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4" t="n"/>
      <c r="C336" s="4" t="n"/>
      <c r="D336" s="4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4" t="n"/>
      <c r="C337" s="4" t="n"/>
      <c r="D337" s="4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4" t="n"/>
      <c r="C338" s="4" t="n"/>
      <c r="D338" s="4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4" t="n"/>
      <c r="C339" s="4" t="n"/>
      <c r="D339" s="4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4" t="n"/>
      <c r="C340" s="4" t="n"/>
      <c r="D340" s="4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4" t="n"/>
      <c r="C341" s="4" t="n"/>
      <c r="D341" s="4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4" t="n"/>
      <c r="C342" s="4" t="n"/>
      <c r="D342" s="4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4" t="n"/>
      <c r="C343" s="4" t="n"/>
      <c r="D343" s="4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4" t="n"/>
      <c r="C344" s="4" t="n"/>
      <c r="D344" s="4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4" t="n"/>
      <c r="C345" s="4" t="n"/>
      <c r="D345" s="4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4" t="n"/>
      <c r="C346" s="4" t="n"/>
      <c r="D346" s="4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4" t="n"/>
      <c r="C347" s="4" t="n"/>
      <c r="D347" s="4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4" t="n"/>
      <c r="C348" s="4" t="n"/>
      <c r="D348" s="4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4" t="n"/>
      <c r="C349" s="4" t="n"/>
      <c r="D349" s="4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4" t="n"/>
      <c r="C350" s="4" t="n"/>
      <c r="D350" s="4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4" t="n"/>
      <c r="C351" s="4" t="n"/>
      <c r="D351" s="4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4" t="n"/>
      <c r="C352" s="4" t="n"/>
      <c r="D352" s="4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4" t="n"/>
      <c r="C353" s="4" t="n"/>
      <c r="D353" s="4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4" t="n"/>
      <c r="C354" s="4" t="n"/>
      <c r="D354" s="4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4" t="n"/>
      <c r="C355" s="4" t="n"/>
      <c r="D355" s="4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4" t="n"/>
      <c r="C356" s="4" t="n"/>
      <c r="D356" s="4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4" t="n"/>
      <c r="C357" s="4" t="n"/>
      <c r="D357" s="4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4" t="n"/>
      <c r="C358" s="4" t="n"/>
      <c r="D358" s="4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4" t="n"/>
      <c r="C359" s="4" t="n"/>
      <c r="D359" s="4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4" t="n"/>
      <c r="C360" s="4" t="n"/>
      <c r="D360" s="4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4" t="n"/>
      <c r="C361" s="4" t="n"/>
      <c r="D361" s="4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4" t="n"/>
      <c r="C362" s="4" t="n"/>
      <c r="D362" s="4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4" t="n"/>
      <c r="C363" s="4" t="n"/>
      <c r="D363" s="4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4" t="n"/>
      <c r="C364" s="4" t="n"/>
      <c r="D364" s="4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4" t="n"/>
      <c r="C365" s="4" t="n"/>
      <c r="D365" s="4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4" t="n"/>
      <c r="C366" s="4" t="n"/>
      <c r="D366" s="4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4" t="n"/>
      <c r="C367" s="4" t="n"/>
      <c r="D367" s="4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4" t="n"/>
      <c r="C368" s="4" t="n"/>
      <c r="D368" s="4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4" t="n"/>
      <c r="C369" s="4" t="n"/>
      <c r="D369" s="4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4" t="n"/>
      <c r="C370" s="4" t="n"/>
      <c r="D370" s="4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4" t="n"/>
      <c r="C371" s="4" t="n"/>
      <c r="D371" s="4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4" t="n"/>
      <c r="C372" s="4" t="n"/>
      <c r="D372" s="4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4" t="n"/>
      <c r="C373" s="4" t="n"/>
      <c r="D373" s="4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4" t="n"/>
      <c r="C374" s="4" t="n"/>
      <c r="D374" s="4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4" t="n"/>
      <c r="C375" s="4" t="n"/>
      <c r="D375" s="4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4" t="n"/>
      <c r="C376" s="4" t="n"/>
      <c r="D376" s="4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4" t="n"/>
      <c r="C377" s="4" t="n"/>
      <c r="D377" s="4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4" t="n"/>
      <c r="C378" s="4" t="n"/>
      <c r="D378" s="4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4" t="n"/>
      <c r="C379" s="4" t="n"/>
      <c r="D379" s="4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4" t="n"/>
      <c r="C380" s="4" t="n"/>
      <c r="D380" s="4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4" t="n"/>
      <c r="C381" s="4" t="n"/>
      <c r="D381" s="4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4" t="n"/>
      <c r="C382" s="4" t="n"/>
      <c r="D382" s="4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4" t="n"/>
      <c r="C383" s="4" t="n"/>
      <c r="D383" s="4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4" t="n"/>
      <c r="C384" s="4" t="n"/>
      <c r="D384" s="4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4" t="n"/>
      <c r="C385" s="4" t="n"/>
      <c r="D385" s="4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4" t="n"/>
      <c r="C386" s="4" t="n"/>
      <c r="D386" s="4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4" t="n"/>
      <c r="C387" s="4" t="n"/>
      <c r="D387" s="4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4" t="n"/>
      <c r="C388" s="4" t="n"/>
      <c r="D388" s="4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4" t="n"/>
      <c r="C389" s="4" t="n"/>
      <c r="D389" s="4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4" t="n"/>
      <c r="C390" s="4" t="n"/>
      <c r="D390" s="4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4" t="n"/>
      <c r="C391" s="4" t="n"/>
      <c r="D391" s="4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4" t="n"/>
      <c r="C392" s="4" t="n"/>
      <c r="D392" s="4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4" t="n"/>
      <c r="C393" s="4" t="n"/>
      <c r="D393" s="4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4" t="n"/>
      <c r="C394" s="4" t="n"/>
      <c r="D394" s="4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4" t="n"/>
      <c r="C395" s="4" t="n"/>
      <c r="D395" s="4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4" t="n"/>
      <c r="C396" s="4" t="n"/>
      <c r="D396" s="4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4" t="n"/>
      <c r="C397" s="4" t="n"/>
      <c r="D397" s="4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4" t="n"/>
      <c r="C398" s="4" t="n"/>
      <c r="D398" s="4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4" t="n"/>
      <c r="C399" s="4" t="n"/>
      <c r="D399" s="4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4" t="n"/>
      <c r="C400" s="4" t="n"/>
      <c r="D400" s="4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4" t="n"/>
      <c r="C401" s="4" t="n"/>
      <c r="D401" s="4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4" t="n"/>
      <c r="C402" s="4" t="n"/>
      <c r="D402" s="4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4" t="n"/>
      <c r="C403" s="4" t="n"/>
      <c r="D403" s="4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4" t="n"/>
      <c r="C404" s="4" t="n"/>
      <c r="D404" s="4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4" t="n"/>
      <c r="C405" s="4" t="n"/>
      <c r="D405" s="4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4" t="n"/>
      <c r="C406" s="4" t="n"/>
      <c r="D406" s="4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4" t="n"/>
      <c r="C407" s="4" t="n"/>
      <c r="D407" s="4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4" t="n"/>
      <c r="C408" s="4" t="n"/>
      <c r="D408" s="4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4" t="n"/>
      <c r="C409" s="4" t="n"/>
      <c r="D409" s="4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4" t="n"/>
      <c r="C410" s="4" t="n"/>
      <c r="D410" s="4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4" t="n"/>
      <c r="C411" s="4" t="n"/>
      <c r="D411" s="4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4" t="n"/>
      <c r="C412" s="4" t="n"/>
      <c r="D412" s="4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4" t="n"/>
      <c r="C413" s="4" t="n"/>
      <c r="D413" s="4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4" t="n"/>
      <c r="C414" s="4" t="n"/>
      <c r="D414" s="4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4" t="n"/>
      <c r="C415" s="4" t="n"/>
      <c r="D415" s="4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4" t="n"/>
      <c r="C416" s="4" t="n"/>
      <c r="D416" s="4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4" t="n"/>
      <c r="C417" s="4" t="n"/>
      <c r="D417" s="4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4" t="n"/>
      <c r="C418" s="4" t="n"/>
      <c r="D418" s="4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4" t="n"/>
      <c r="C419" s="4" t="n"/>
      <c r="D419" s="4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4" t="n"/>
      <c r="C420" s="4" t="n"/>
      <c r="D420" s="4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4" t="n"/>
      <c r="C421" s="4" t="n"/>
      <c r="D421" s="4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4" t="n"/>
      <c r="C422" s="4" t="n"/>
      <c r="D422" s="4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4" t="n"/>
      <c r="C423" s="4" t="n"/>
      <c r="D423" s="4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4" t="n"/>
      <c r="C424" s="4" t="n"/>
      <c r="D424" s="4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4" t="n"/>
      <c r="C425" s="4" t="n"/>
      <c r="D425" s="4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4" t="n"/>
      <c r="C426" s="4" t="n"/>
      <c r="D426" s="4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4" t="n"/>
      <c r="C427" s="4" t="n"/>
      <c r="D427" s="4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4" t="n"/>
      <c r="C428" s="4" t="n"/>
      <c r="D428" s="4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4" t="n"/>
      <c r="C429" s="4" t="n"/>
      <c r="D429" s="4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4" t="n"/>
      <c r="C430" s="4" t="n"/>
      <c r="D430" s="4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4" t="n"/>
      <c r="C431" s="4" t="n"/>
      <c r="D431" s="4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4" t="n"/>
      <c r="C432" s="4" t="n"/>
      <c r="D432" s="4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4" t="n"/>
      <c r="C433" s="4" t="n"/>
      <c r="D433" s="4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4" t="n"/>
      <c r="C434" s="4" t="n"/>
      <c r="D434" s="4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4" t="n"/>
      <c r="C435" s="4" t="n"/>
      <c r="D435" s="4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4" t="n"/>
      <c r="C436" s="4" t="n"/>
      <c r="D436" s="4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4" t="n"/>
      <c r="C437" s="4" t="n"/>
      <c r="D437" s="4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4" t="n"/>
      <c r="C438" s="4" t="n"/>
      <c r="D438" s="4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4" t="n"/>
      <c r="C439" s="4" t="n"/>
      <c r="D439" s="4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4" t="n"/>
      <c r="C440" s="4" t="n"/>
      <c r="D440" s="4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4" t="n"/>
      <c r="C441" s="4" t="n"/>
      <c r="D441" s="4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4" t="n"/>
      <c r="C442" s="4" t="n"/>
      <c r="D442" s="4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4" t="n"/>
      <c r="C443" s="4" t="n"/>
      <c r="D443" s="4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4" t="n"/>
      <c r="C444" s="4" t="n"/>
      <c r="D444" s="4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4" t="n"/>
      <c r="C445" s="4" t="n"/>
      <c r="D445" s="4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4" t="n"/>
      <c r="C446" s="4" t="n"/>
      <c r="D446" s="4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4" t="n"/>
      <c r="C447" s="4" t="n"/>
      <c r="D447" s="4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4" t="n"/>
      <c r="C448" s="4" t="n"/>
      <c r="D448" s="4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4" t="n"/>
      <c r="C449" s="4" t="n"/>
      <c r="D449" s="4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4" t="n"/>
      <c r="C450" s="4" t="n"/>
      <c r="D450" s="4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4" t="n"/>
      <c r="C451" s="4" t="n"/>
      <c r="D451" s="4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4" t="n"/>
      <c r="C452" s="4" t="n"/>
      <c r="D452" s="4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4" t="n"/>
      <c r="C453" s="4" t="n"/>
      <c r="D453" s="4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4" t="n"/>
      <c r="C454" s="4" t="n"/>
      <c r="D454" s="4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4" t="n"/>
      <c r="C455" s="4" t="n"/>
      <c r="D455" s="4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4" t="n"/>
      <c r="C456" s="4" t="n"/>
      <c r="D456" s="4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4" t="n"/>
      <c r="C457" s="4" t="n"/>
      <c r="D457" s="4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4" t="n"/>
      <c r="C458" s="4" t="n"/>
      <c r="D458" s="4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4" t="n"/>
      <c r="C459" s="4" t="n"/>
      <c r="D459" s="4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4" t="n"/>
      <c r="C460" s="4" t="n"/>
      <c r="D460" s="4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4" t="n"/>
      <c r="C461" s="4" t="n"/>
      <c r="D461" s="4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4" t="n"/>
      <c r="C462" s="4" t="n"/>
      <c r="D462" s="4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4" t="n"/>
      <c r="C463" s="4" t="n"/>
      <c r="D463" s="4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4" t="n"/>
      <c r="C464" s="4" t="n"/>
      <c r="D464" s="4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4" t="n"/>
      <c r="C465" s="4" t="n"/>
      <c r="D465" s="4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4" t="n"/>
      <c r="C466" s="4" t="n"/>
      <c r="D466" s="4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4" t="n"/>
      <c r="C467" s="4" t="n"/>
      <c r="D467" s="4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4" t="n"/>
      <c r="C468" s="4" t="n"/>
      <c r="D468" s="4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4" t="n"/>
      <c r="C469" s="4" t="n"/>
      <c r="D469" s="4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4" t="n"/>
      <c r="C470" s="4" t="n"/>
      <c r="D470" s="4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4" t="n"/>
      <c r="C471" s="4" t="n"/>
      <c r="D471" s="4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4" t="n"/>
      <c r="C472" s="4" t="n"/>
      <c r="D472" s="4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4" t="n"/>
      <c r="C473" s="4" t="n"/>
      <c r="D473" s="4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4" t="n"/>
      <c r="C474" s="4" t="n"/>
      <c r="D474" s="4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4" t="n"/>
      <c r="C475" s="4" t="n"/>
      <c r="D475" s="4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4" t="n"/>
      <c r="C476" s="4" t="n"/>
      <c r="D476" s="4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4" t="n"/>
      <c r="C477" s="4" t="n"/>
      <c r="D477" s="4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4" t="n"/>
      <c r="C478" s="4" t="n"/>
      <c r="D478" s="4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4" t="n"/>
      <c r="C479" s="4" t="n"/>
      <c r="D479" s="4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4" t="n"/>
      <c r="C480" s="4" t="n"/>
      <c r="D480" s="4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4" t="n"/>
      <c r="C481" s="4" t="n"/>
      <c r="D481" s="4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4" t="n"/>
      <c r="C482" s="4" t="n"/>
      <c r="D482" s="4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4" t="n"/>
      <c r="C483" s="4" t="n"/>
      <c r="D483" s="4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4" t="n"/>
      <c r="C484" s="4" t="n"/>
      <c r="D484" s="4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4" t="n"/>
      <c r="C485" s="4" t="n"/>
      <c r="D485" s="4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4" t="n"/>
      <c r="C486" s="4" t="n"/>
      <c r="D486" s="4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4" t="n"/>
      <c r="C487" s="4" t="n"/>
      <c r="D487" s="4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4" t="n"/>
      <c r="C488" s="4" t="n"/>
      <c r="D488" s="4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4" t="n"/>
      <c r="C489" s="4" t="n"/>
      <c r="D489" s="4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4" t="n"/>
      <c r="C490" s="4" t="n"/>
      <c r="D490" s="4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4" t="n"/>
      <c r="C491" s="4" t="n"/>
      <c r="D491" s="4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4" t="n"/>
      <c r="C492" s="4" t="n"/>
      <c r="D492" s="4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4" t="n"/>
      <c r="C493" s="4" t="n"/>
      <c r="D493" s="4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4" t="n"/>
      <c r="C494" s="4" t="n"/>
      <c r="D494" s="4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4" t="n"/>
      <c r="C495" s="4" t="n"/>
      <c r="D495" s="4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4" t="n"/>
      <c r="C496" s="4" t="n"/>
      <c r="D496" s="4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4" t="n"/>
      <c r="C497" s="4" t="n"/>
      <c r="D497" s="4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4" t="n"/>
      <c r="C498" s="4" t="n"/>
      <c r="D498" s="4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4" t="n"/>
      <c r="C499" s="4" t="n"/>
      <c r="D499" s="4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4" t="n"/>
      <c r="C500" s="4" t="n"/>
      <c r="D500" s="4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4" t="n"/>
      <c r="C501" s="4" t="n"/>
      <c r="D501" s="4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4" t="n"/>
      <c r="C502" s="4" t="n"/>
      <c r="D502" s="4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4" t="n"/>
      <c r="C503" s="4" t="n"/>
      <c r="D503" s="4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4" t="n"/>
      <c r="C504" s="4" t="n"/>
      <c r="D504" s="4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4" t="n"/>
      <c r="C505" s="4" t="n"/>
      <c r="D505" s="4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4" t="n"/>
      <c r="C506" s="4" t="n"/>
      <c r="D506" s="4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4" t="n"/>
      <c r="C507" s="4" t="n"/>
      <c r="D507" s="4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4" t="n"/>
      <c r="C508" s="4" t="n"/>
      <c r="D508" s="4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4" t="n"/>
      <c r="C509" s="4" t="n"/>
      <c r="D509" s="4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4" t="n"/>
      <c r="C510" s="4" t="n"/>
      <c r="D510" s="4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4" t="n"/>
      <c r="C511" s="4" t="n"/>
      <c r="D511" s="4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4" t="n"/>
      <c r="C512" s="4" t="n"/>
      <c r="D512" s="4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4" t="n"/>
      <c r="C513" s="4" t="n"/>
      <c r="D513" s="4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4" t="n"/>
      <c r="C514" s="4" t="n"/>
      <c r="D514" s="4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4" t="n"/>
      <c r="C515" s="4" t="n"/>
      <c r="D515" s="4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4" t="n"/>
      <c r="C516" s="4" t="n"/>
      <c r="D516" s="4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4" t="n"/>
      <c r="C517" s="4" t="n"/>
      <c r="D517" s="4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4" t="n"/>
      <c r="C518" s="4" t="n"/>
      <c r="D518" s="4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4" t="n"/>
      <c r="C519" s="4" t="n"/>
      <c r="D519" s="4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4" t="n"/>
      <c r="C520" s="4" t="n"/>
      <c r="D520" s="4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4" t="n"/>
      <c r="C521" s="4" t="n"/>
      <c r="D521" s="4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4" t="n"/>
      <c r="C522" s="4" t="n"/>
      <c r="D522" s="4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4" t="n"/>
      <c r="C523" s="4" t="n"/>
      <c r="D523" s="4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4" t="n"/>
      <c r="C524" s="4" t="n"/>
      <c r="D524" s="4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4" t="n"/>
      <c r="C525" s="4" t="n"/>
      <c r="D525" s="4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4" t="n"/>
      <c r="C526" s="4" t="n"/>
      <c r="D526" s="4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4" t="n"/>
      <c r="C527" s="4" t="n"/>
      <c r="D527" s="4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4" t="n"/>
      <c r="C528" s="4" t="n"/>
      <c r="D528" s="4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4" t="n"/>
      <c r="C529" s="4" t="n"/>
      <c r="D529" s="4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4" t="n"/>
      <c r="C530" s="4" t="n"/>
      <c r="D530" s="4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4" t="n"/>
      <c r="C531" s="4" t="n"/>
      <c r="D531" s="4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4" t="n"/>
      <c r="C532" s="4" t="n"/>
      <c r="D532" s="4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4" t="n"/>
      <c r="C533" s="4" t="n"/>
      <c r="D533" s="4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4" t="n"/>
      <c r="C534" s="4" t="n"/>
      <c r="D534" s="4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4" t="n"/>
      <c r="C535" s="4" t="n"/>
      <c r="D535" s="4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4" t="n"/>
      <c r="C536" s="4" t="n"/>
      <c r="D536" s="4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4" t="n"/>
      <c r="C537" s="4" t="n"/>
      <c r="D537" s="4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4" t="n"/>
      <c r="C538" s="4" t="n"/>
      <c r="D538" s="4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4" t="n"/>
      <c r="C539" s="4" t="n"/>
      <c r="D539" s="4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4" t="n"/>
      <c r="C540" s="4" t="n"/>
      <c r="D540" s="4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4" t="n"/>
      <c r="C541" s="4" t="n"/>
      <c r="D541" s="4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4" t="n"/>
      <c r="C542" s="4" t="n"/>
      <c r="D542" s="4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4" t="n"/>
      <c r="C543" s="4" t="n"/>
      <c r="D543" s="4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4" t="n"/>
      <c r="C544" s="4" t="n"/>
      <c r="D544" s="4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4" t="n"/>
      <c r="C545" s="4" t="n"/>
      <c r="D545" s="4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4" t="n"/>
      <c r="C546" s="4" t="n"/>
      <c r="D546" s="4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4" t="n"/>
      <c r="C547" s="4" t="n"/>
      <c r="D547" s="4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4" t="n"/>
      <c r="C548" s="4" t="n"/>
      <c r="D548" s="4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4" t="n"/>
      <c r="C549" s="4" t="n"/>
      <c r="D549" s="4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4" t="n"/>
      <c r="C550" s="4" t="n"/>
      <c r="D550" s="4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4" t="n"/>
      <c r="C551" s="4" t="n"/>
      <c r="D551" s="4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4" t="n"/>
      <c r="C552" s="4" t="n"/>
      <c r="D552" s="4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4" t="n"/>
      <c r="C553" s="4" t="n"/>
      <c r="D553" s="4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4" t="n"/>
      <c r="C554" s="4" t="n"/>
      <c r="D554" s="4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4" t="n"/>
      <c r="C555" s="4" t="n"/>
      <c r="D555" s="4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4" t="n"/>
      <c r="C556" s="4" t="n"/>
      <c r="D556" s="4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4" t="n"/>
      <c r="C557" s="4" t="n"/>
      <c r="D557" s="4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4" t="n"/>
      <c r="C558" s="4" t="n"/>
      <c r="D558" s="4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4" t="n"/>
      <c r="C559" s="4" t="n"/>
      <c r="D559" s="4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4" t="n"/>
      <c r="C560" s="4" t="n"/>
      <c r="D560" s="4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4" t="n"/>
      <c r="C561" s="4" t="n"/>
      <c r="D561" s="4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4" t="n"/>
      <c r="C562" s="4" t="n"/>
      <c r="D562" s="4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4" t="n"/>
      <c r="C563" s="4" t="n"/>
      <c r="D563" s="4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4" t="n"/>
      <c r="C564" s="4" t="n"/>
      <c r="D564" s="4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4" t="n"/>
      <c r="C565" s="4" t="n"/>
      <c r="D565" s="4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4" t="n"/>
      <c r="C566" s="4" t="n"/>
      <c r="D566" s="4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4" t="n"/>
      <c r="C567" s="4" t="n"/>
      <c r="D567" s="4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4" t="n"/>
      <c r="C568" s="4" t="n"/>
      <c r="D568" s="4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4" t="n"/>
      <c r="C569" s="4" t="n"/>
      <c r="D569" s="4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4" t="n"/>
      <c r="C570" s="4" t="n"/>
      <c r="D570" s="4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4" t="n"/>
      <c r="C571" s="4" t="n"/>
      <c r="D571" s="4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4" t="n"/>
      <c r="C572" s="4" t="n"/>
      <c r="D572" s="4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4" t="n"/>
      <c r="C573" s="4" t="n"/>
      <c r="D573" s="4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4" t="n"/>
      <c r="C574" s="4" t="n"/>
      <c r="D574" s="4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4" t="n"/>
      <c r="C575" s="4" t="n"/>
      <c r="D575" s="4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4" t="n"/>
      <c r="C576" s="4" t="n"/>
      <c r="D576" s="4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4" t="n"/>
      <c r="C577" s="4" t="n"/>
      <c r="D577" s="4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4" t="n"/>
      <c r="C578" s="4" t="n"/>
      <c r="D578" s="4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4" t="n"/>
      <c r="C579" s="4" t="n"/>
      <c r="D579" s="4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4" t="n"/>
      <c r="C580" s="4" t="n"/>
      <c r="D580" s="4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4" t="n"/>
      <c r="C581" s="4" t="n"/>
      <c r="D581" s="4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4" t="n"/>
      <c r="C582" s="4" t="n"/>
      <c r="D582" s="4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4" t="n"/>
      <c r="C583" s="4" t="n"/>
      <c r="D583" s="4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4" t="n"/>
      <c r="C584" s="4" t="n"/>
      <c r="D584" s="4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4" t="n"/>
      <c r="C585" s="4" t="n"/>
      <c r="D585" s="4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4" t="n"/>
      <c r="C586" s="4" t="n"/>
      <c r="D586" s="4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4" t="n"/>
      <c r="C587" s="4" t="n"/>
      <c r="D587" s="4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4" t="n"/>
      <c r="C588" s="4" t="n"/>
      <c r="D588" s="4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4" t="n"/>
      <c r="C589" s="4" t="n"/>
      <c r="D589" s="4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4" t="n"/>
      <c r="C590" s="4" t="n"/>
      <c r="D590" s="4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4" t="n"/>
      <c r="C591" s="4" t="n"/>
      <c r="D591" s="4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4" t="n"/>
      <c r="C592" s="4" t="n"/>
      <c r="D592" s="4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4" t="n"/>
      <c r="C593" s="4" t="n"/>
      <c r="D593" s="4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4" t="n"/>
      <c r="C594" s="4" t="n"/>
      <c r="D594" s="4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4" t="n"/>
      <c r="C595" s="4" t="n"/>
      <c r="D595" s="4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4" t="n"/>
      <c r="C596" s="4" t="n"/>
      <c r="D596" s="4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4" t="n"/>
      <c r="C597" s="4" t="n"/>
      <c r="D597" s="4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4" t="n"/>
      <c r="C598" s="4" t="n"/>
      <c r="D598" s="4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4" t="n"/>
      <c r="C599" s="4" t="n"/>
      <c r="D599" s="4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4" t="n"/>
      <c r="C600" s="4" t="n"/>
      <c r="D600" s="4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4" t="n"/>
      <c r="C601" s="4" t="n"/>
      <c r="D601" s="4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4" t="n"/>
      <c r="C602" s="4" t="n"/>
      <c r="D602" s="4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4" t="n"/>
      <c r="C603" s="4" t="n"/>
      <c r="D603" s="4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4" t="n"/>
      <c r="C604" s="4" t="n"/>
      <c r="D604" s="4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4" t="n"/>
      <c r="C605" s="4" t="n"/>
      <c r="D605" s="4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4" t="n"/>
      <c r="C606" s="4" t="n"/>
      <c r="D606" s="4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4" t="n"/>
      <c r="C607" s="4" t="n"/>
      <c r="D607" s="4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4" t="n"/>
      <c r="C608" s="4" t="n"/>
      <c r="D608" s="4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4" t="n"/>
      <c r="C609" s="4" t="n"/>
      <c r="D609" s="4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4" t="n"/>
      <c r="C610" s="4" t="n"/>
      <c r="D610" s="4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4" t="n"/>
      <c r="C611" s="4" t="n"/>
      <c r="D611" s="4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4" t="n"/>
      <c r="C612" s="4" t="n"/>
      <c r="D612" s="4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4" t="n"/>
      <c r="C613" s="4" t="n"/>
      <c r="D613" s="4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4" t="n"/>
      <c r="C614" s="4" t="n"/>
      <c r="D614" s="4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4" t="n"/>
      <c r="C615" s="4" t="n"/>
      <c r="D615" s="4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4" t="n"/>
      <c r="C616" s="4" t="n"/>
      <c r="D616" s="4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4" t="n"/>
      <c r="C617" s="4" t="n"/>
      <c r="D617" s="4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4" t="n"/>
      <c r="C618" s="4" t="n"/>
      <c r="D618" s="4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4" t="n"/>
      <c r="C619" s="4" t="n"/>
      <c r="D619" s="4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4" t="n"/>
      <c r="C620" s="4" t="n"/>
      <c r="D620" s="4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4" t="n"/>
      <c r="C621" s="4" t="n"/>
      <c r="D621" s="4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4" t="n"/>
      <c r="C622" s="4" t="n"/>
      <c r="D622" s="4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4" t="n"/>
      <c r="C623" s="4" t="n"/>
      <c r="D623" s="4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4" t="n"/>
      <c r="C624" s="4" t="n"/>
      <c r="D624" s="4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4" t="n"/>
      <c r="C625" s="4" t="n"/>
      <c r="D625" s="4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4" t="n"/>
      <c r="C626" s="4" t="n"/>
      <c r="D626" s="4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4" t="n"/>
      <c r="C627" s="4" t="n"/>
      <c r="D627" s="4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4" t="n"/>
      <c r="C628" s="4" t="n"/>
      <c r="D628" s="4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4" t="n"/>
      <c r="C629" s="4" t="n"/>
      <c r="D629" s="4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4" t="n"/>
      <c r="C630" s="4" t="n"/>
      <c r="D630" s="4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4" t="n"/>
      <c r="C631" s="4" t="n"/>
      <c r="D631" s="4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4" t="n"/>
      <c r="C632" s="4" t="n"/>
      <c r="D632" s="4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4" t="n"/>
      <c r="C633" s="4" t="n"/>
      <c r="D633" s="4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4" t="n"/>
      <c r="C634" s="4" t="n"/>
      <c r="D634" s="4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4" t="n"/>
      <c r="C635" s="4" t="n"/>
      <c r="D635" s="4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4" t="n"/>
      <c r="C636" s="4" t="n"/>
      <c r="D636" s="4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4" t="n"/>
      <c r="C637" s="4" t="n"/>
      <c r="D637" s="4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4" t="n"/>
      <c r="C638" s="4" t="n"/>
      <c r="D638" s="4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4" t="n"/>
      <c r="C639" s="4" t="n"/>
      <c r="D639" s="4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4" t="n"/>
      <c r="C640" s="4" t="n"/>
      <c r="D640" s="4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4" t="n"/>
      <c r="C641" s="4" t="n"/>
      <c r="D641" s="4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4" t="n"/>
      <c r="C642" s="4" t="n"/>
      <c r="D642" s="4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4" t="n"/>
      <c r="C643" s="4" t="n"/>
      <c r="D643" s="4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4" t="n"/>
      <c r="C644" s="4" t="n"/>
      <c r="D644" s="4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4" t="n"/>
      <c r="C645" s="4" t="n"/>
      <c r="D645" s="4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4" t="n"/>
      <c r="C646" s="4" t="n"/>
      <c r="D646" s="4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4" t="n"/>
      <c r="C647" s="4" t="n"/>
      <c r="D647" s="4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4" t="n"/>
      <c r="C648" s="4" t="n"/>
      <c r="D648" s="4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4" t="n"/>
      <c r="C649" s="4" t="n"/>
      <c r="D649" s="4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4" t="n"/>
      <c r="C650" s="4" t="n"/>
      <c r="D650" s="4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4" t="n"/>
      <c r="C651" s="4" t="n"/>
      <c r="D651" s="4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4" t="n"/>
      <c r="C652" s="4" t="n"/>
      <c r="D652" s="4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4" t="n"/>
      <c r="C653" s="4" t="n"/>
      <c r="D653" s="4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4" t="n"/>
      <c r="C654" s="4" t="n"/>
      <c r="D654" s="4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4" t="n"/>
      <c r="C655" s="4" t="n"/>
      <c r="D655" s="4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4" t="n"/>
      <c r="C656" s="4" t="n"/>
      <c r="D656" s="4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4" t="n"/>
      <c r="C657" s="4" t="n"/>
      <c r="D657" s="4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4" t="n"/>
      <c r="C658" s="4" t="n"/>
      <c r="D658" s="4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4" t="n"/>
      <c r="C659" s="4" t="n"/>
      <c r="D659" s="4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4" t="n"/>
      <c r="C660" s="4" t="n"/>
      <c r="D660" s="4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4" t="n"/>
      <c r="C661" s="4" t="n"/>
      <c r="D661" s="4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4" t="n"/>
      <c r="C662" s="4" t="n"/>
      <c r="D662" s="4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4" t="n"/>
      <c r="C663" s="4" t="n"/>
      <c r="D663" s="4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4" t="n"/>
      <c r="C664" s="4" t="n"/>
      <c r="D664" s="4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4" t="n"/>
      <c r="C665" s="4" t="n"/>
      <c r="D665" s="4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4" t="n"/>
      <c r="C666" s="4" t="n"/>
      <c r="D666" s="4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4" t="n"/>
      <c r="C667" s="4" t="n"/>
      <c r="D667" s="4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4" t="n"/>
      <c r="C668" s="4" t="n"/>
      <c r="D668" s="4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4" t="n"/>
      <c r="C669" s="4" t="n"/>
      <c r="D669" s="4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4" t="n"/>
      <c r="C670" s="4" t="n"/>
      <c r="D670" s="4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4" t="n"/>
      <c r="C671" s="4" t="n"/>
      <c r="D671" s="4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4" t="n"/>
      <c r="C672" s="4" t="n"/>
      <c r="D672" s="4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4" t="n"/>
      <c r="C673" s="4" t="n"/>
      <c r="D673" s="4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4" t="n"/>
      <c r="C674" s="4" t="n"/>
      <c r="D674" s="4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4" t="n"/>
      <c r="C675" s="4" t="n"/>
      <c r="D675" s="4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4" t="n"/>
      <c r="C676" s="4" t="n"/>
      <c r="D676" s="4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4" t="n"/>
      <c r="C677" s="4" t="n"/>
      <c r="D677" s="4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4" t="n"/>
      <c r="C678" s="4" t="n"/>
      <c r="D678" s="4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4" t="n"/>
      <c r="C679" s="4" t="n"/>
      <c r="D679" s="4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4" t="n"/>
      <c r="C680" s="4" t="n"/>
      <c r="D680" s="4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4" t="n"/>
      <c r="C681" s="4" t="n"/>
      <c r="D681" s="4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4" t="n"/>
      <c r="C682" s="4" t="n"/>
      <c r="D682" s="4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4" t="n"/>
      <c r="C683" s="4" t="n"/>
      <c r="D683" s="4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4" t="n"/>
      <c r="C684" s="4" t="n"/>
      <c r="D684" s="4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4" t="n"/>
      <c r="C685" s="4" t="n"/>
      <c r="D685" s="4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4" t="n"/>
      <c r="C686" s="4" t="n"/>
      <c r="D686" s="4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4" t="n"/>
      <c r="C687" s="4" t="n"/>
      <c r="D687" s="4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4" t="n"/>
      <c r="C688" s="4" t="n"/>
      <c r="D688" s="4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4" t="n"/>
      <c r="C689" s="4" t="n"/>
      <c r="D689" s="4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4" t="n"/>
      <c r="C690" s="4" t="n"/>
      <c r="D690" s="4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4" t="n"/>
      <c r="C691" s="4" t="n"/>
      <c r="D691" s="4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4" t="n"/>
      <c r="C692" s="4" t="n"/>
      <c r="D692" s="4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4" t="n"/>
      <c r="C693" s="4" t="n"/>
      <c r="D693" s="4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4" t="n"/>
      <c r="C694" s="4" t="n"/>
      <c r="D694" s="4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4" t="n"/>
      <c r="C695" s="4" t="n"/>
      <c r="D695" s="4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4" t="n"/>
      <c r="C696" s="4" t="n"/>
      <c r="D696" s="4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4" t="n"/>
      <c r="C697" s="4" t="n"/>
      <c r="D697" s="4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4" t="n"/>
      <c r="C698" s="4" t="n"/>
      <c r="D698" s="4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4" t="n"/>
      <c r="C699" s="4" t="n"/>
      <c r="D699" s="4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4" t="n"/>
      <c r="C700" s="4" t="n"/>
      <c r="D700" s="4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4" t="n"/>
      <c r="C701" s="4" t="n"/>
      <c r="D701" s="4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4" t="n"/>
      <c r="C702" s="4" t="n"/>
      <c r="D702" s="4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4" t="n"/>
      <c r="C703" s="4" t="n"/>
      <c r="D703" s="4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4" t="n"/>
      <c r="C704" s="4" t="n"/>
      <c r="D704" s="4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4" t="n"/>
      <c r="C705" s="4" t="n"/>
      <c r="D705" s="4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4" t="n"/>
      <c r="C706" s="4" t="n"/>
      <c r="D706" s="4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4" t="n"/>
      <c r="C707" s="4" t="n"/>
      <c r="D707" s="4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4" t="n"/>
      <c r="C708" s="4" t="n"/>
      <c r="D708" s="4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4" t="n"/>
      <c r="C709" s="4" t="n"/>
      <c r="D709" s="4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4" t="n"/>
      <c r="C710" s="4" t="n"/>
      <c r="D710" s="4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4" t="n"/>
      <c r="C711" s="4" t="n"/>
      <c r="D711" s="4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4" t="n"/>
      <c r="C712" s="4" t="n"/>
      <c r="D712" s="4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4" t="n"/>
      <c r="C713" s="4" t="n"/>
      <c r="D713" s="4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4" t="n"/>
      <c r="C714" s="4" t="n"/>
      <c r="D714" s="4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4" t="n"/>
      <c r="C715" s="4" t="n"/>
      <c r="D715" s="4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4" t="n"/>
      <c r="C716" s="4" t="n"/>
      <c r="D716" s="4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4" t="n"/>
      <c r="C717" s="4" t="n"/>
      <c r="D717" s="4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4" t="n"/>
      <c r="C718" s="4" t="n"/>
      <c r="D718" s="4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4" t="n"/>
      <c r="C719" s="4" t="n"/>
      <c r="D719" s="4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4" t="n"/>
      <c r="C720" s="4" t="n"/>
      <c r="D720" s="4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4" t="n"/>
      <c r="C721" s="4" t="n"/>
      <c r="D721" s="4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4" t="n"/>
      <c r="C722" s="4" t="n"/>
      <c r="D722" s="4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4" t="n"/>
      <c r="C723" s="4" t="n"/>
      <c r="D723" s="4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4" t="n"/>
      <c r="C724" s="4" t="n"/>
      <c r="D724" s="4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4" t="n"/>
      <c r="C725" s="4" t="n"/>
      <c r="D725" s="4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4" t="n"/>
      <c r="C726" s="4" t="n"/>
      <c r="D726" s="4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4" t="n"/>
      <c r="C727" s="4" t="n"/>
      <c r="D727" s="4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4" t="n"/>
      <c r="C728" s="4" t="n"/>
      <c r="D728" s="4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4" t="n"/>
      <c r="C729" s="4" t="n"/>
      <c r="D729" s="4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4" t="n"/>
      <c r="C730" s="4" t="n"/>
      <c r="D730" s="4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4" t="n"/>
      <c r="C731" s="4" t="n"/>
      <c r="D731" s="4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4" t="n"/>
      <c r="C732" s="4" t="n"/>
      <c r="D732" s="4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4" t="n"/>
      <c r="C733" s="4" t="n"/>
      <c r="D733" s="4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4" t="n"/>
      <c r="C734" s="4" t="n"/>
      <c r="D734" s="4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4" t="n"/>
      <c r="C735" s="4" t="n"/>
      <c r="D735" s="4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4" t="n"/>
      <c r="C736" s="4" t="n"/>
      <c r="D736" s="4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4" t="n"/>
      <c r="C737" s="4" t="n"/>
      <c r="D737" s="4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4" t="n"/>
      <c r="C738" s="4" t="n"/>
      <c r="D738" s="4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4" t="n"/>
      <c r="C739" s="4" t="n"/>
      <c r="D739" s="4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4" t="n"/>
      <c r="C740" s="4" t="n"/>
      <c r="D740" s="4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4" t="n"/>
      <c r="C741" s="4" t="n"/>
      <c r="D741" s="4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4" t="n"/>
      <c r="C742" s="4" t="n"/>
      <c r="D742" s="4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4" t="n"/>
      <c r="C743" s="4" t="n"/>
      <c r="D743" s="4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4" t="n"/>
      <c r="C744" s="4" t="n"/>
      <c r="D744" s="4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4" t="n"/>
      <c r="C745" s="4" t="n"/>
      <c r="D745" s="4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4" t="n"/>
      <c r="C746" s="4" t="n"/>
      <c r="D746" s="4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4" t="n"/>
      <c r="C747" s="4" t="n"/>
      <c r="D747" s="4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4" t="n"/>
      <c r="C748" s="4" t="n"/>
      <c r="D748" s="4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4" t="n"/>
      <c r="C749" s="4" t="n"/>
      <c r="D749" s="4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4" t="n"/>
      <c r="C750" s="4" t="n"/>
      <c r="D750" s="4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4" t="n"/>
      <c r="C751" s="4" t="n"/>
      <c r="D751" s="4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4" t="n"/>
      <c r="C752" s="4" t="n"/>
      <c r="D752" s="4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4" t="n"/>
      <c r="C753" s="4" t="n"/>
      <c r="D753" s="4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4" t="n"/>
      <c r="C754" s="4" t="n"/>
      <c r="D754" s="4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4" t="n"/>
      <c r="C755" s="4" t="n"/>
      <c r="D755" s="4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4" t="n"/>
      <c r="C756" s="4" t="n"/>
      <c r="D756" s="4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4" t="n"/>
      <c r="C757" s="4" t="n"/>
      <c r="D757" s="4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4" t="n"/>
      <c r="C758" s="4" t="n"/>
      <c r="D758" s="4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4" t="n"/>
      <c r="C759" s="4" t="n"/>
      <c r="D759" s="4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4" t="n"/>
      <c r="C760" s="4" t="n"/>
      <c r="D760" s="4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4" t="n"/>
      <c r="C761" s="4" t="n"/>
      <c r="D761" s="4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4" t="n"/>
      <c r="C762" s="4" t="n"/>
      <c r="D762" s="4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4" t="n"/>
      <c r="C763" s="4" t="n"/>
      <c r="D763" s="4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4" t="n"/>
      <c r="C764" s="4" t="n"/>
      <c r="D764" s="4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4" t="n"/>
      <c r="C765" s="4" t="n"/>
      <c r="D765" s="4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4" t="n"/>
      <c r="C766" s="4" t="n"/>
      <c r="D766" s="4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4" t="n"/>
      <c r="C767" s="4" t="n"/>
      <c r="D767" s="4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4" t="n"/>
      <c r="C768" s="4" t="n"/>
      <c r="D768" s="4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4" t="n"/>
      <c r="C769" s="4" t="n"/>
      <c r="D769" s="4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4" t="n"/>
      <c r="C770" s="4" t="n"/>
      <c r="D770" s="4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4" t="n"/>
      <c r="C771" s="4" t="n"/>
      <c r="D771" s="4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4" t="n"/>
      <c r="C772" s="4" t="n"/>
      <c r="D772" s="4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4" t="n"/>
      <c r="C773" s="4" t="n"/>
      <c r="D773" s="4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4" t="n"/>
      <c r="C774" s="4" t="n"/>
      <c r="D774" s="4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4" t="n"/>
      <c r="C775" s="4" t="n"/>
      <c r="D775" s="4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4" t="n"/>
      <c r="C776" s="4" t="n"/>
      <c r="D776" s="4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4" t="n"/>
      <c r="C777" s="4" t="n"/>
      <c r="D777" s="4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4" t="n"/>
      <c r="C778" s="4" t="n"/>
      <c r="D778" s="4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4" t="n"/>
      <c r="C779" s="4" t="n"/>
      <c r="D779" s="4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4" t="n"/>
      <c r="C780" s="4" t="n"/>
      <c r="D780" s="4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4" t="n"/>
      <c r="C781" s="4" t="n"/>
      <c r="D781" s="4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4" t="n"/>
      <c r="C782" s="4" t="n"/>
      <c r="D782" s="4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4" t="n"/>
      <c r="C783" s="4" t="n"/>
      <c r="D783" s="4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4" t="n"/>
      <c r="C784" s="4" t="n"/>
      <c r="D784" s="4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4" t="n"/>
      <c r="C785" s="4" t="n"/>
      <c r="D785" s="4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4" t="n"/>
      <c r="C786" s="4" t="n"/>
      <c r="D786" s="4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4" t="n"/>
      <c r="C787" s="4" t="n"/>
      <c r="D787" s="4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4" t="n"/>
      <c r="C788" s="4" t="n"/>
      <c r="D788" s="4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4" t="n"/>
      <c r="C789" s="4" t="n"/>
      <c r="D789" s="4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4" t="n"/>
      <c r="C790" s="4" t="n"/>
      <c r="D790" s="4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4" t="n"/>
      <c r="C791" s="4" t="n"/>
      <c r="D791" s="4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4" t="n"/>
      <c r="C792" s="4" t="n"/>
      <c r="D792" s="4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4" t="n"/>
      <c r="C793" s="4" t="n"/>
      <c r="D793" s="4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4" t="n"/>
      <c r="C794" s="4" t="n"/>
      <c r="D794" s="4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4" t="n"/>
      <c r="C795" s="4" t="n"/>
      <c r="D795" s="4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4" t="n"/>
      <c r="C796" s="4" t="n"/>
      <c r="D796" s="4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4" t="n"/>
      <c r="C797" s="4" t="n"/>
      <c r="D797" s="4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4" t="n"/>
      <c r="C798" s="4" t="n"/>
      <c r="D798" s="4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4" t="n"/>
      <c r="C799" s="4" t="n"/>
      <c r="D799" s="4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4" t="n"/>
      <c r="C800" s="4" t="n"/>
      <c r="D800" s="4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4" t="n"/>
      <c r="C801" s="4" t="n"/>
      <c r="D801" s="4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4" t="n"/>
      <c r="C802" s="4" t="n"/>
      <c r="D802" s="4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4" t="n"/>
      <c r="C803" s="4" t="n"/>
      <c r="D803" s="4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4" t="n"/>
      <c r="C804" s="4" t="n"/>
      <c r="D804" s="4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4" t="n"/>
      <c r="C805" s="4" t="n"/>
      <c r="D805" s="4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4" t="n"/>
      <c r="C806" s="4" t="n"/>
      <c r="D806" s="4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4" t="n"/>
      <c r="C807" s="4" t="n"/>
      <c r="D807" s="4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4" t="n"/>
      <c r="C808" s="4" t="n"/>
      <c r="D808" s="4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4" t="n"/>
      <c r="C809" s="4" t="n"/>
      <c r="D809" s="4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4" t="n"/>
      <c r="C810" s="4" t="n"/>
      <c r="D810" s="4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4" t="n"/>
      <c r="C811" s="4" t="n"/>
      <c r="D811" s="4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4" t="n"/>
      <c r="C812" s="4" t="n"/>
      <c r="D812" s="4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4" t="n"/>
      <c r="C813" s="4" t="n"/>
      <c r="D813" s="4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4" t="n"/>
      <c r="C814" s="4" t="n"/>
      <c r="D814" s="4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4" t="n"/>
      <c r="C815" s="4" t="n"/>
      <c r="D815" s="4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4" t="n"/>
      <c r="C816" s="4" t="n"/>
      <c r="D816" s="4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4" t="n"/>
      <c r="C817" s="4" t="n"/>
      <c r="D817" s="4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4" t="n"/>
      <c r="C818" s="4" t="n"/>
      <c r="D818" s="4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4" t="n"/>
      <c r="C819" s="4" t="n"/>
      <c r="D819" s="4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4" t="n"/>
      <c r="C820" s="4" t="n"/>
      <c r="D820" s="4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4" t="n"/>
      <c r="C821" s="4" t="n"/>
      <c r="D821" s="4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4" t="n"/>
      <c r="C822" s="4" t="n"/>
      <c r="D822" s="4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4" t="n"/>
      <c r="C823" s="4" t="n"/>
      <c r="D823" s="4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4" t="n"/>
      <c r="C824" s="4" t="n"/>
      <c r="D824" s="4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4" t="n"/>
      <c r="C825" s="4" t="n"/>
      <c r="D825" s="4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4" t="n"/>
      <c r="C826" s="4" t="n"/>
      <c r="D826" s="4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4" t="n"/>
      <c r="C827" s="4" t="n"/>
      <c r="D827" s="4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4" t="n"/>
      <c r="C828" s="4" t="n"/>
      <c r="D828" s="4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4" t="n"/>
      <c r="C829" s="4" t="n"/>
      <c r="D829" s="4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4" t="n"/>
      <c r="C830" s="4" t="n"/>
      <c r="D830" s="4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4" t="n"/>
      <c r="C831" s="4" t="n"/>
      <c r="D831" s="4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4" t="n"/>
      <c r="C832" s="4" t="n"/>
      <c r="D832" s="4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4" t="n"/>
      <c r="C833" s="4" t="n"/>
      <c r="D833" s="4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4" t="n"/>
      <c r="C834" s="4" t="n"/>
      <c r="D834" s="4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4" t="n"/>
      <c r="C835" s="4" t="n"/>
      <c r="D835" s="4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4" t="n"/>
      <c r="C836" s="4" t="n"/>
      <c r="D836" s="4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4" t="n"/>
      <c r="C837" s="4" t="n"/>
      <c r="D837" s="4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4" t="n"/>
      <c r="C838" s="4" t="n"/>
      <c r="D838" s="4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4" t="n"/>
      <c r="C839" s="4" t="n"/>
      <c r="D839" s="4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4" t="n"/>
      <c r="C840" s="4" t="n"/>
      <c r="D840" s="4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4" t="n"/>
      <c r="C841" s="4" t="n"/>
      <c r="D841" s="4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4" t="n"/>
      <c r="C842" s="4" t="n"/>
      <c r="D842" s="4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4" t="n"/>
      <c r="C843" s="4" t="n"/>
      <c r="D843" s="4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4" t="n"/>
      <c r="C844" s="4" t="n"/>
      <c r="D844" s="4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4" t="n"/>
      <c r="C845" s="4" t="n"/>
      <c r="D845" s="4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4" t="n"/>
      <c r="C846" s="4" t="n"/>
      <c r="D846" s="4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4" t="n"/>
      <c r="C847" s="4" t="n"/>
      <c r="D847" s="4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4" t="n"/>
      <c r="C848" s="4" t="n"/>
      <c r="D848" s="4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4" t="n"/>
      <c r="C849" s="4" t="n"/>
      <c r="D849" s="4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4" t="n"/>
      <c r="C850" s="4" t="n"/>
      <c r="D850" s="4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4" t="n"/>
      <c r="C851" s="4" t="n"/>
      <c r="D851" s="4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4" t="n"/>
      <c r="C852" s="4" t="n"/>
      <c r="D852" s="4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4" t="n"/>
      <c r="C853" s="4" t="n"/>
      <c r="D853" s="4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4" t="n"/>
      <c r="C854" s="4" t="n"/>
      <c r="D854" s="4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4" t="n"/>
      <c r="C855" s="4" t="n"/>
      <c r="D855" s="4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4" t="n"/>
      <c r="C856" s="4" t="n"/>
      <c r="D856" s="4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4" t="n"/>
      <c r="C857" s="4" t="n"/>
      <c r="D857" s="4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4" t="n"/>
      <c r="C858" s="4" t="n"/>
      <c r="D858" s="4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4" t="n"/>
      <c r="C859" s="4" t="n"/>
      <c r="D859" s="4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4" t="n"/>
      <c r="C860" s="4" t="n"/>
      <c r="D860" s="4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4" t="n"/>
      <c r="C861" s="4" t="n"/>
      <c r="D861" s="4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4" t="n"/>
      <c r="C862" s="4" t="n"/>
      <c r="D862" s="4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4" t="n"/>
      <c r="C863" s="4" t="n"/>
      <c r="D863" s="4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4" t="n"/>
      <c r="C864" s="4" t="n"/>
      <c r="D864" s="4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4" t="n"/>
      <c r="C865" s="4" t="n"/>
      <c r="D865" s="4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4" t="n"/>
      <c r="C866" s="4" t="n"/>
      <c r="D866" s="4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4" t="n"/>
      <c r="C867" s="4" t="n"/>
      <c r="D867" s="4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4" t="n"/>
      <c r="C868" s="4" t="n"/>
      <c r="D868" s="4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4" t="n"/>
      <c r="C869" s="4" t="n"/>
      <c r="D869" s="4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4" t="n"/>
      <c r="C870" s="4" t="n"/>
      <c r="D870" s="4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4" t="n"/>
      <c r="C871" s="4" t="n"/>
      <c r="D871" s="4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4" t="n"/>
      <c r="C872" s="4" t="n"/>
      <c r="D872" s="4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4" t="n"/>
      <c r="C873" s="4" t="n"/>
      <c r="D873" s="4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4" t="n"/>
      <c r="C874" s="4" t="n"/>
      <c r="D874" s="4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4" t="n"/>
      <c r="C875" s="4" t="n"/>
      <c r="D875" s="4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4" t="n"/>
      <c r="C876" s="4" t="n"/>
      <c r="D876" s="4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4" t="n"/>
      <c r="C877" s="4" t="n"/>
      <c r="D877" s="4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4" t="n"/>
      <c r="C878" s="4" t="n"/>
      <c r="D878" s="4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4" t="n"/>
      <c r="C879" s="4" t="n"/>
      <c r="D879" s="4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4" t="n"/>
      <c r="C880" s="4" t="n"/>
      <c r="D880" s="4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4" t="n"/>
      <c r="C881" s="4" t="n"/>
      <c r="D881" s="4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4" t="n"/>
      <c r="C882" s="4" t="n"/>
      <c r="D882" s="4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4" t="n"/>
      <c r="C883" s="4" t="n"/>
      <c r="D883" s="4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4" t="n"/>
      <c r="C884" s="4" t="n"/>
      <c r="D884" s="4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4" t="n"/>
      <c r="C885" s="4" t="n"/>
      <c r="D885" s="4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4" t="n"/>
      <c r="C886" s="4" t="n"/>
      <c r="D886" s="4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4" t="n"/>
      <c r="C887" s="4" t="n"/>
      <c r="D887" s="4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4" t="n"/>
      <c r="C888" s="4" t="n"/>
      <c r="D888" s="4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4" t="n"/>
      <c r="C889" s="4" t="n"/>
      <c r="D889" s="4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4" t="n"/>
      <c r="C890" s="4" t="n"/>
      <c r="D890" s="4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4" t="n"/>
      <c r="C891" s="4" t="n"/>
      <c r="D891" s="4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4" t="n"/>
      <c r="C892" s="4" t="n"/>
      <c r="D892" s="4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4" t="n"/>
      <c r="C893" s="4" t="n"/>
      <c r="D893" s="4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4" t="n"/>
      <c r="C894" s="4" t="n"/>
      <c r="D894" s="4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4" t="n"/>
      <c r="C895" s="4" t="n"/>
      <c r="D895" s="4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4" t="n"/>
      <c r="C896" s="4" t="n"/>
      <c r="D896" s="4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4" t="n"/>
      <c r="C897" s="4" t="n"/>
      <c r="D897" s="4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4" t="n"/>
      <c r="C898" s="4" t="n"/>
      <c r="D898" s="4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4" t="n"/>
      <c r="C899" s="4" t="n"/>
      <c r="D899" s="4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4" t="n"/>
      <c r="C900" s="4" t="n"/>
      <c r="D900" s="4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4" t="n"/>
      <c r="C901" s="4" t="n"/>
      <c r="D901" s="4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4" t="n"/>
      <c r="C902" s="4" t="n"/>
      <c r="D902" s="4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4" t="n"/>
      <c r="C903" s="4" t="n"/>
      <c r="D903" s="4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4" t="n"/>
      <c r="C904" s="4" t="n"/>
      <c r="D904" s="4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4" t="n"/>
      <c r="C905" s="4" t="n"/>
      <c r="D905" s="4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4" t="n"/>
      <c r="C906" s="4" t="n"/>
      <c r="D906" s="4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4" t="n"/>
      <c r="C907" s="4" t="n"/>
      <c r="D907" s="4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4" t="n"/>
      <c r="C908" s="4" t="n"/>
      <c r="D908" s="4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4" t="n"/>
      <c r="C909" s="4" t="n"/>
      <c r="D909" s="4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4" t="n"/>
      <c r="C910" s="4" t="n"/>
      <c r="D910" s="4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4" t="n"/>
      <c r="C911" s="4" t="n"/>
      <c r="D911" s="4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4" t="n"/>
      <c r="C912" s="4" t="n"/>
      <c r="D912" s="4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4" t="n"/>
      <c r="C913" s="4" t="n"/>
      <c r="D913" s="4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4" t="n"/>
      <c r="C914" s="4" t="n"/>
      <c r="D914" s="4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4" t="n"/>
      <c r="C915" s="4" t="n"/>
      <c r="D915" s="4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4" t="n"/>
      <c r="C916" s="4" t="n"/>
      <c r="D916" s="4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4" t="n"/>
      <c r="C917" s="4" t="n"/>
      <c r="D917" s="4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4" t="n"/>
      <c r="C918" s="4" t="n"/>
      <c r="D918" s="4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4" t="n"/>
      <c r="C919" s="4" t="n"/>
      <c r="D919" s="4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4" t="n"/>
      <c r="C920" s="4" t="n"/>
      <c r="D920" s="4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4" t="n"/>
      <c r="C921" s="4" t="n"/>
      <c r="D921" s="4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4" t="n"/>
      <c r="C922" s="4" t="n"/>
      <c r="D922" s="4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4" t="n"/>
      <c r="C923" s="4" t="n"/>
      <c r="D923" s="4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4" t="n"/>
      <c r="C924" s="4" t="n"/>
      <c r="D924" s="4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4" t="n"/>
      <c r="C925" s="4" t="n"/>
      <c r="D925" s="4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4" t="n"/>
      <c r="C926" s="4" t="n"/>
      <c r="D926" s="4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4" t="n"/>
      <c r="C927" s="4" t="n"/>
      <c r="D927" s="4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4" t="n"/>
      <c r="C928" s="4" t="n"/>
      <c r="D928" s="4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4" t="n"/>
      <c r="C929" s="4" t="n"/>
      <c r="D929" s="4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4" t="n"/>
      <c r="C930" s="4" t="n"/>
      <c r="D930" s="4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4" t="n"/>
      <c r="C931" s="4" t="n"/>
      <c r="D931" s="4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4" t="n"/>
      <c r="C932" s="4" t="n"/>
      <c r="D932" s="4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4" t="n"/>
      <c r="C933" s="4" t="n"/>
      <c r="D933" s="4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4" t="n"/>
      <c r="C934" s="4" t="n"/>
      <c r="D934" s="4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4" t="n"/>
      <c r="C935" s="4" t="n"/>
      <c r="D935" s="4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4" t="n"/>
      <c r="C936" s="4" t="n"/>
      <c r="D936" s="4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4" t="n"/>
      <c r="C937" s="4" t="n"/>
      <c r="D937" s="4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4" t="n"/>
      <c r="C938" s="4" t="n"/>
      <c r="D938" s="4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4" t="n"/>
      <c r="C939" s="4" t="n"/>
      <c r="D939" s="4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4" t="n"/>
      <c r="C940" s="4" t="n"/>
      <c r="D940" s="4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4" t="n"/>
      <c r="C941" s="4" t="n"/>
      <c r="D941" s="4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4" t="n"/>
      <c r="C942" s="4" t="n"/>
      <c r="D942" s="4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4" t="n"/>
      <c r="C943" s="4" t="n"/>
      <c r="D943" s="4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4" t="n"/>
      <c r="C944" s="4" t="n"/>
      <c r="D944" s="4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4" t="n"/>
      <c r="C945" s="4" t="n"/>
      <c r="D945" s="4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4" t="n"/>
      <c r="C946" s="4" t="n"/>
      <c r="D946" s="4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4" t="n"/>
      <c r="C947" s="4" t="n"/>
      <c r="D947" s="4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4" t="n"/>
      <c r="C948" s="4" t="n"/>
      <c r="D948" s="4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4" t="n"/>
      <c r="C949" s="4" t="n"/>
      <c r="D949" s="4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4" t="n"/>
      <c r="C950" s="4" t="n"/>
      <c r="D950" s="4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4" t="n"/>
      <c r="C951" s="4" t="n"/>
      <c r="D951" s="4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4" t="n"/>
      <c r="C952" s="4" t="n"/>
      <c r="D952" s="4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4" t="n"/>
      <c r="C953" s="4" t="n"/>
      <c r="D953" s="4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4" t="n"/>
      <c r="C954" s="4" t="n"/>
      <c r="D954" s="4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4" t="n"/>
      <c r="C955" s="4" t="n"/>
      <c r="D955" s="4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4" t="n"/>
      <c r="C956" s="4" t="n"/>
      <c r="D956" s="4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4" t="n"/>
      <c r="C957" s="4" t="n"/>
      <c r="D957" s="4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4" t="n"/>
      <c r="C958" s="4" t="n"/>
      <c r="D958" s="4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4" t="n"/>
      <c r="C959" s="4" t="n"/>
      <c r="D959" s="4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4" t="n"/>
      <c r="C960" s="4" t="n"/>
      <c r="D960" s="4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4" t="n"/>
      <c r="C961" s="4" t="n"/>
      <c r="D961" s="4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4" t="n"/>
      <c r="C962" s="4" t="n"/>
      <c r="D962" s="4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4" t="n"/>
      <c r="C963" s="4" t="n"/>
      <c r="D963" s="4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4" t="n"/>
      <c r="C964" s="4" t="n"/>
      <c r="D964" s="4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4" t="n"/>
      <c r="C965" s="4" t="n"/>
      <c r="D965" s="4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4" t="n"/>
      <c r="C966" s="4" t="n"/>
      <c r="D966" s="4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4" t="n"/>
      <c r="C967" s="4" t="n"/>
      <c r="D967" s="4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4" t="n"/>
      <c r="C968" s="4" t="n"/>
      <c r="D968" s="4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4" t="n"/>
      <c r="C969" s="4" t="n"/>
      <c r="D969" s="4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4" t="n"/>
      <c r="C970" s="4" t="n"/>
      <c r="D970" s="4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4" t="n"/>
      <c r="C971" s="4" t="n"/>
      <c r="D971" s="4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4" t="n"/>
      <c r="C972" s="4" t="n"/>
      <c r="D972" s="4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4" t="n"/>
      <c r="C973" s="4" t="n"/>
      <c r="D973" s="4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4" t="n"/>
      <c r="C974" s="4" t="n"/>
      <c r="D974" s="4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4" t="n"/>
      <c r="C975" s="4" t="n"/>
      <c r="D975" s="4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4" t="n"/>
      <c r="C976" s="4" t="n"/>
      <c r="D976" s="4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4" t="n"/>
      <c r="C977" s="4" t="n"/>
      <c r="D977" s="4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4" t="n"/>
      <c r="C978" s="4" t="n"/>
      <c r="D978" s="4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4" t="n"/>
      <c r="C979" s="4" t="n"/>
      <c r="D979" s="4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4" t="n"/>
      <c r="C980" s="4" t="n"/>
      <c r="D980" s="4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4" t="n"/>
      <c r="C981" s="4" t="n"/>
      <c r="D981" s="4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4" t="n"/>
      <c r="C982" s="4" t="n"/>
      <c r="D982" s="4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4" t="n"/>
      <c r="C983" s="4" t="n"/>
      <c r="D983" s="4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4" t="n"/>
      <c r="C984" s="4" t="n"/>
      <c r="D984" s="4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4" t="n"/>
      <c r="C985" s="4" t="n"/>
      <c r="D985" s="4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4" t="n"/>
      <c r="C986" s="4" t="n"/>
      <c r="D986" s="4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4" t="n"/>
      <c r="C987" s="4" t="n"/>
      <c r="D987" s="4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4" t="n"/>
      <c r="C988" s="4" t="n"/>
      <c r="D988" s="4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4" t="n"/>
      <c r="C989" s="4" t="n"/>
      <c r="D989" s="4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4" t="n"/>
      <c r="C990" s="4" t="n"/>
      <c r="D990" s="4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4" t="n"/>
      <c r="C991" s="4" t="n"/>
      <c r="D991" s="4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4" t="n"/>
      <c r="C992" s="4" t="n"/>
      <c r="D992" s="4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4" t="n"/>
      <c r="C993" s="4" t="n"/>
      <c r="D993" s="4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4" t="n"/>
      <c r="C994" s="4" t="n"/>
      <c r="D994" s="4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4" t="n"/>
      <c r="C995" s="4" t="n"/>
      <c r="D995" s="4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4" t="n"/>
      <c r="C996" s="4" t="n"/>
      <c r="D996" s="4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4" t="n"/>
      <c r="C997" s="4" t="n"/>
      <c r="D997" s="4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4" t="n"/>
      <c r="C998" s="4" t="n"/>
      <c r="D998" s="4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4" t="n"/>
      <c r="C999" s="4" t="n"/>
      <c r="D999" s="4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4" t="n"/>
      <c r="C1000" s="4" t="n"/>
      <c r="D1000" s="4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s="1" t="n"/>
      <c r="B1001" s="4" t="n"/>
      <c r="C1001" s="4" t="n"/>
      <c r="D1001" s="4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10" defaultRowHeight="16"/>
  <cols>
    <col width="19.5" customWidth="1" min="1" max="1"/>
  </cols>
  <sheetData>
    <row r="1">
      <c r="A1" s="2" t="inlineStr">
        <is>
          <t>Agentes</t>
        </is>
      </c>
      <c r="B1" s="2" t="inlineStr">
        <is>
          <t>Unidades</t>
        </is>
      </c>
      <c r="C1" s="2" t="inlineStr">
        <is>
          <t>Capacidad</t>
        </is>
      </c>
      <c r="D1" s="2" t="inlineStr">
        <is>
          <t>Viajes por dia</t>
        </is>
      </c>
      <c r="E1" s="2" t="inlineStr">
        <is>
          <t>Toneladas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Cliba</t>
        </is>
      </c>
      <c r="B2" s="3" t="n">
        <v>21</v>
      </c>
      <c r="C2" s="3" t="n">
        <v>5</v>
      </c>
      <c r="D2" s="3" t="n">
        <v>2</v>
      </c>
      <c r="E2" s="3">
        <f>B2*C2*D2</f>
        <v/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" t="inlineStr">
        <is>
          <t>Urbafé</t>
        </is>
      </c>
      <c r="B3" s="3" t="n">
        <v>22</v>
      </c>
      <c r="C3" s="3" t="n">
        <v>5</v>
      </c>
      <c r="D3" s="3" t="n">
        <v>2</v>
      </c>
      <c r="E3" s="3">
        <f>B3*C3*D3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A4" s="2" t="inlineStr">
        <is>
          <t>Municipalidad</t>
        </is>
      </c>
      <c r="B4" s="3" t="n">
        <v>6</v>
      </c>
      <c r="C4" s="3" t="n">
        <v>2</v>
      </c>
      <c r="D4" s="3" t="n">
        <v>1</v>
      </c>
      <c r="E4" s="3">
        <f>B4*C4*D4</f>
        <v/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2" t="inlineStr">
        <is>
          <t>Empresas X</t>
        </is>
      </c>
      <c r="B5" s="3" t="n">
        <v>1</v>
      </c>
      <c r="C5" s="3" t="n">
        <v>5</v>
      </c>
      <c r="D5" s="3" t="n">
        <v>1</v>
      </c>
      <c r="E5" s="3">
        <f>B5*C5*D5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2" t="inlineStr">
        <is>
          <t>Santo Tome</t>
        </is>
      </c>
      <c r="B6" s="3" t="n">
        <v>4</v>
      </c>
      <c r="C6" s="3" t="n">
        <v>10</v>
      </c>
      <c r="D6" s="3" t="n">
        <v>2</v>
      </c>
      <c r="E6" s="3">
        <f>B6*C6*D6</f>
        <v/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2" t="inlineStr">
        <is>
          <t>Área Metropolitana</t>
        </is>
      </c>
      <c r="B7" s="3" t="n">
        <v>4</v>
      </c>
      <c r="C7" s="3" t="n">
        <v>10</v>
      </c>
      <c r="D7" s="3" t="n">
        <v>2</v>
      </c>
      <c r="E7" s="3">
        <f>B7*C7*D7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1" t="n"/>
      <c r="B8" s="1" t="n"/>
      <c r="C8" s="1" t="n"/>
      <c r="D8" s="1" t="n"/>
      <c r="E8" s="1">
        <f>SUM(E2:E7)</f>
        <v/>
      </c>
      <c r="F8" s="2" t="inlineStr">
        <is>
          <t>TOTAL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A12" s="1" t="n"/>
      <c r="B12" s="2" t="inlineStr">
        <is>
          <t>Toneladas</t>
        </is>
      </c>
      <c r="C12" s="2" t="inlineStr">
        <is>
          <t>%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>
      <c r="A13" s="2" t="inlineStr">
        <is>
          <t>Santa Fe</t>
        </is>
      </c>
      <c r="B13" s="29">
        <f>'RESPALDO RESIDUOS'!C4</f>
        <v/>
      </c>
      <c r="C13" s="9">
        <f>B13/$B$16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>
      <c r="A14" s="2" t="inlineStr">
        <is>
          <t>Santo Tome</t>
        </is>
      </c>
      <c r="B14" s="29">
        <f>'RESPALDO RESIDUOS'!F4</f>
        <v/>
      </c>
      <c r="C14" s="9">
        <f>B14/$B$16</f>
        <v/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>
      <c r="A15" s="2" t="inlineStr">
        <is>
          <t>OA Metrop</t>
        </is>
      </c>
      <c r="B15" s="29">
        <f>'RESPALDO RESIDUOS'!I4</f>
        <v/>
      </c>
      <c r="C15" s="9">
        <f>B15/$B$16</f>
        <v/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>
      <c r="A16" s="2" t="inlineStr">
        <is>
          <t>TOTAL</t>
        </is>
      </c>
      <c r="B16" s="29">
        <f>SUM(B13:B15)</f>
        <v/>
      </c>
      <c r="C16" s="9">
        <f>SUM(C13:C15)</f>
        <v/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>
      <c r="A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6"/>
  <sheetViews>
    <sheetView workbookViewId="0">
      <selection activeCell="A1" sqref="A1"/>
    </sheetView>
  </sheetViews>
  <sheetFormatPr baseColWidth="10" defaultRowHeight="16"/>
  <cols>
    <col width="25.1640625" customWidth="1" min="1" max="1"/>
    <col width="19.83203125" customWidth="1" style="8" min="2" max="2"/>
    <col width="67.6640625" customWidth="1" min="3" max="3"/>
  </cols>
  <sheetData>
    <row r="1">
      <c r="A1" s="2" t="inlineStr">
        <is>
          <t>Concepto</t>
        </is>
      </c>
      <c r="B1" s="7" t="inlineStr">
        <is>
          <t>Valor / Variable</t>
        </is>
      </c>
      <c r="C1" s="2" t="inlineStr">
        <is>
          <t>Justificación Técnica y Bibliográfica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Demanda Diaria</t>
        </is>
      </c>
      <c r="B2" s="6" t="n">
        <v>600</v>
      </c>
      <c r="C2" s="3" t="inlineStr">
        <is>
          <t>Transferencia de residuos de la ciudad.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2" t="inlineStr">
        <is>
          <t>Capacidad Batea</t>
        </is>
      </c>
      <c r="B3" s="6" t="n">
        <v>30</v>
      </c>
      <c r="C3" s="3" t="inlineStr">
        <is>
          <t>Capacidad neta de carga por unidad en Toneladas (Batea de 3 ejes).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2" t="inlineStr">
        <is>
          <t>Viajes Totales (Día)</t>
        </is>
      </c>
      <c r="B4" s="6" t="inlineStr">
        <is>
          <t>20 Viajes</t>
        </is>
      </c>
      <c r="C4" s="3" t="inlineStr">
        <is>
          <t>Calculado como: 600 t / 30 t/viaje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2" t="inlineStr">
        <is>
          <t>Viajes por Turno</t>
        </is>
      </c>
      <c r="B5" s="6" t="inlineStr">
        <is>
          <t>10 Viajes</t>
        </is>
      </c>
      <c r="C5" s="3" t="inlineStr">
        <is>
          <t>Distribución operativa: 50% mañana / 50% tarde.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2" t="inlineStr">
        <is>
          <t>Factor Tiempo (Cargado)</t>
        </is>
      </c>
      <c r="B6" s="6" t="inlineStr">
        <is>
          <t>Google Maps + 30%</t>
        </is>
      </c>
      <c r="C6" s="3" t="inlineStr">
        <is>
          <t>Inercia de 45t y aceleración lenta en entorno urbano/periurbano.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2" t="inlineStr">
        <is>
          <t>Factor Tiempo (Vacío)</t>
        </is>
      </c>
      <c r="B7" s="6" t="inlineStr">
        <is>
          <t>Google Maps + 10%</t>
        </is>
      </c>
      <c r="C7" s="3" t="inlineStr">
        <is>
          <t>Mejor relación potencia/peso; limitado por ley a 80 km/h.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2" t="inlineStr">
        <is>
          <t>Consumo Cargado</t>
        </is>
      </c>
      <c r="B8" s="6" t="inlineStr">
        <is>
          <t>0,52 L/km</t>
        </is>
      </c>
      <c r="C8" s="3" t="inlineStr">
        <is>
          <t>Basado en BSFC para motores de alto torque (aprox. 1.9 km/L).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2" t="inlineStr">
        <is>
          <t>Consumo Vacío</t>
        </is>
      </c>
      <c r="B9" s="6" t="inlineStr">
        <is>
          <t>0,30 L/km</t>
        </is>
      </c>
      <c r="C9" s="3" t="inlineStr">
        <is>
          <t>Menor resistencia a la rodadura y demanda de torque (aprox. 3.3 km/L).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2" t="inlineStr">
        <is>
          <t>Tiempo de Carga</t>
        </is>
      </c>
      <c r="B10" s="6" t="inlineStr">
        <is>
          <t>40 Minutos</t>
        </is>
      </c>
      <c r="C10" s="3" t="inlineStr">
        <is>
          <t>Tiempo de maniobra y transferencia en la ET.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2" t="inlineStr">
        <is>
          <t>Tiempo de Descarga</t>
        </is>
      </c>
      <c r="B11" s="6" t="inlineStr">
        <is>
          <t>20 Minutos</t>
        </is>
      </c>
      <c r="C11" s="3" t="inlineStr">
        <is>
          <t>Proceso de vuelco hidráulico en el frente de relleno.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2" t="inlineStr">
        <is>
          <t>Jornada Laboral</t>
        </is>
      </c>
      <c r="B12" s="6" t="inlineStr">
        <is>
          <t>480 Minutos (8h)</t>
        </is>
      </c>
      <c r="C12" s="3" t="inlineStr">
        <is>
          <t>Tiempo disponible por chofer/unidad por turno.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4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4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4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4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4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4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4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4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4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4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4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4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4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4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4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4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4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4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4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4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4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4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4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4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4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4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4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4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4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4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4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4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4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4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4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4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4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4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4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4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4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4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4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4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4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4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4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4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4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4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4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4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4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4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4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4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4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4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4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4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4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4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4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4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4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4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4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4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4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4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4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4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4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4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4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4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4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4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4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4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4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4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4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4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4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4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4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4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4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4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4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4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4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4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4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4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4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4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4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4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4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4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4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4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4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4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4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4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4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4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4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4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4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4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4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4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4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4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4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4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4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4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4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4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4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4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4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4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4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4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4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4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4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4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4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4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4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4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4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4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4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4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4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4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4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4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4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4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4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4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4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4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4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4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4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4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4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4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4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4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4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4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4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4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4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4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4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4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4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4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4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4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4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4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4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4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4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4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4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4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4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4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4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4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4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4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4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4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4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4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4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4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4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4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4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4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4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4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4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4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4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4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4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4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4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4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4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4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4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4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4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4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4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4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4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4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4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4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4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4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4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4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4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4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4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4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4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4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4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4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4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4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4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4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4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4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4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4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4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4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4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4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4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4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4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4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4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4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4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4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4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4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4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4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4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4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4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4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4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4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4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4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4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4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4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4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4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4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4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4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4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4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4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4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4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4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4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4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4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4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4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4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4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4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4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4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4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4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4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4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4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4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4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4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4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4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4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4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4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4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4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4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4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4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4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4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4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4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4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4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4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4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4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4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4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4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4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4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4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4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4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4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4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4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4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4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4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4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4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4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4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4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4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4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4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4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4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4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4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4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4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4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4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4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4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4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4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4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4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4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4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4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4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4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4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4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4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4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4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4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4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4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4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4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4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4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4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4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4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4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4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4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4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4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4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4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4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4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4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4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4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4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4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4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4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4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4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4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4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4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4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4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4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4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4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4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4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4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4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4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4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4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4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4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4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4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4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4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4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4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4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4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4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4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4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4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4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4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4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4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4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4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4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4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4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4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4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4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4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4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4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4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4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4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4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4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4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4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4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4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4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4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4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4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4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4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4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4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4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4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4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4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4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4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4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4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4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4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4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4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4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4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4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4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4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4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4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4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4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4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4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4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4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4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4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4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4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4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4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4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4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4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4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4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4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4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4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4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4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4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4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4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4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4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4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4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4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4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4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4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4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4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4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4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4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4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4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4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4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4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4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4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4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4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4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4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4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4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4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4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4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4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4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4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4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4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4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4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4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4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4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4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4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4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4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4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4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4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4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4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4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4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4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4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4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4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4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4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4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4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4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4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4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4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4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4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4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4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4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4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4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4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4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4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4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4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4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4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4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4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4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4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4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4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4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4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4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4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4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4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4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4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4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4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4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4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4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4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4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4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4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4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4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4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4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4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4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4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4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4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4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4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4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4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4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4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4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4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4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4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4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4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4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4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4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4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4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4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4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4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4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4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4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4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4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4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4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4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4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4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4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4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4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4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4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4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4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4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4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4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4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4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4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4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4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4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4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4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4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4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4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4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4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4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4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4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4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4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4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4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4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4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4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4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4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4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4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4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4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4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4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4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4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4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4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4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4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4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4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4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4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4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4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4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4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4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4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4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4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4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4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4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4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4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4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4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4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4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4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4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4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4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4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4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4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4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4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4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4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4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4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4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4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4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4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4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4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4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4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4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4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4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4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4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4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4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4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4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4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4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4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4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4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4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4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4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4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4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4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4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4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4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4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4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4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4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4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4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4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4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4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4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4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4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4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4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4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4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4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4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4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4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4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4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4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4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4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4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4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4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4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4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4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4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4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4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4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4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4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4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4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4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4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4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4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4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4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4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4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4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4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4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4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4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4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4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4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4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4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4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4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4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4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4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4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4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4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4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4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4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4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4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4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4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4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4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4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4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4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4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4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4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4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4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4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4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4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4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4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4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4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4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4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4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4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4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4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4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4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4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4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4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4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4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4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4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4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4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4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4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4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4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4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4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4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4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4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4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4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4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4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4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4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4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4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4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4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4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4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4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4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4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4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4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4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4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4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4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4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4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4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4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4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4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4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4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4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4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4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4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4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4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4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4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4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4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4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4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4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4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4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4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4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4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4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4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4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4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4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4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4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4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4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4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4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4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4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4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4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4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4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4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4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4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4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4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4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4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4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4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4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4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4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4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4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4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4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4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4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4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4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4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4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4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4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4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4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4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4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4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4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4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4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4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4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4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4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4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4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4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4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4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4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4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4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4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4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4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4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4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4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4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4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4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4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4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4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4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4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4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:A2"/>
    </sheetView>
  </sheetViews>
  <sheetFormatPr baseColWidth="10" defaultRowHeight="16"/>
  <cols>
    <col width="12.6640625" customWidth="1" min="1" max="12"/>
  </cols>
  <sheetData>
    <row r="1">
      <c r="A1" s="40" t="inlineStr">
        <is>
          <t>Año</t>
        </is>
      </c>
      <c r="B1" s="44" t="inlineStr">
        <is>
          <t>Santa Fe</t>
        </is>
      </c>
      <c r="C1" s="45" t="n"/>
      <c r="D1" s="46" t="n"/>
      <c r="E1" s="44" t="inlineStr">
        <is>
          <t>Santo Tomé</t>
        </is>
      </c>
      <c r="F1" s="45" t="n"/>
      <c r="G1" s="46" t="n"/>
      <c r="H1" s="44" t="inlineStr">
        <is>
          <t>Resto de jurisdicciones**</t>
        </is>
      </c>
      <c r="I1" s="45" t="n"/>
      <c r="J1" s="46" t="n"/>
      <c r="K1" s="43" t="inlineStr">
        <is>
          <t>Total</t>
        </is>
      </c>
      <c r="L1" s="46" t="n"/>
      <c r="M1" s="10" t="n"/>
      <c r="N1" s="10" t="n"/>
      <c r="O1" s="10" t="n"/>
      <c r="P1" s="10" t="n"/>
      <c r="Q1" s="10" t="n"/>
      <c r="R1" s="10" t="n"/>
      <c r="S1" s="10" t="n"/>
      <c r="T1" s="11" t="n"/>
      <c r="U1" s="11" t="n"/>
      <c r="V1" s="11" t="n"/>
      <c r="W1" s="11" t="n"/>
      <c r="X1" s="11" t="n"/>
      <c r="Y1" s="11" t="n"/>
      <c r="Z1" s="11" t="n"/>
    </row>
    <row r="2">
      <c r="A2" s="47" t="n"/>
      <c r="B2" s="28" t="inlineStr">
        <is>
          <t>Habitantes</t>
        </is>
      </c>
      <c r="C2" s="25" t="inlineStr">
        <is>
          <t>TN por día*</t>
        </is>
      </c>
      <c r="D2" s="26" t="inlineStr">
        <is>
          <t>%</t>
        </is>
      </c>
      <c r="E2" s="28" t="inlineStr">
        <is>
          <t>Habitantes</t>
        </is>
      </c>
      <c r="F2" s="25" t="inlineStr">
        <is>
          <t>TN por día*</t>
        </is>
      </c>
      <c r="G2" s="26" t="inlineStr">
        <is>
          <t>%</t>
        </is>
      </c>
      <c r="H2" s="28" t="inlineStr">
        <is>
          <t>Habitantes</t>
        </is>
      </c>
      <c r="I2" s="25" t="inlineStr">
        <is>
          <t>TN por día*</t>
        </is>
      </c>
      <c r="J2" s="26" t="inlineStr">
        <is>
          <t>%</t>
        </is>
      </c>
      <c r="K2" s="27" t="inlineStr">
        <is>
          <t>Habitantes</t>
        </is>
      </c>
      <c r="L2" s="26" t="inlineStr">
        <is>
          <t>TN por día*</t>
        </is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1" t="n"/>
    </row>
    <row r="3">
      <c r="A3" s="13" t="n">
        <v>2020</v>
      </c>
      <c r="B3" s="14" t="n">
        <v>429026</v>
      </c>
      <c r="C3" s="15" t="n">
        <v>429.02</v>
      </c>
      <c r="D3" s="16">
        <f>C3/L3</f>
        <v/>
      </c>
      <c r="E3" s="14" t="n">
        <v>76253</v>
      </c>
      <c r="F3" s="15" t="n">
        <v>76.25</v>
      </c>
      <c r="G3" s="16">
        <f>F3/L3</f>
        <v/>
      </c>
      <c r="H3" s="14" t="n">
        <v>49567</v>
      </c>
      <c r="I3" s="15" t="n">
        <v>49.56</v>
      </c>
      <c r="J3" s="16">
        <f>I3/L3</f>
        <v/>
      </c>
      <c r="K3" s="17" t="n">
        <v>554846</v>
      </c>
      <c r="L3" s="18" t="n">
        <v>554.83</v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n">
        <v>2026</v>
      </c>
      <c r="B4" s="14" t="n">
        <v>444865</v>
      </c>
      <c r="C4" s="15" t="n">
        <v>444.86</v>
      </c>
      <c r="D4" s="16">
        <f>C4/L4</f>
        <v/>
      </c>
      <c r="E4" s="14" t="n">
        <v>81570</v>
      </c>
      <c r="F4" s="15" t="n">
        <v>81.56999999999999</v>
      </c>
      <c r="G4" s="16">
        <f>F4/L4</f>
        <v/>
      </c>
      <c r="H4" s="14" t="n">
        <v>80830</v>
      </c>
      <c r="I4" s="15" t="n">
        <v>80.83</v>
      </c>
      <c r="J4" s="16">
        <f>I4/L4</f>
        <v/>
      </c>
      <c r="K4" s="17" t="n">
        <v>607266</v>
      </c>
      <c r="L4" s="18" t="n">
        <v>607.25</v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n">
        <v>2030</v>
      </c>
      <c r="B5" s="14" t="n">
        <v>455425</v>
      </c>
      <c r="C5" s="15" t="n">
        <v>455.42</v>
      </c>
      <c r="D5" s="16">
        <f>C5/L5</f>
        <v/>
      </c>
      <c r="E5" s="14" t="n">
        <v>85115</v>
      </c>
      <c r="F5" s="15" t="n">
        <v>85.11</v>
      </c>
      <c r="G5" s="16">
        <f>F5/L5</f>
        <v/>
      </c>
      <c r="H5" s="14" t="n">
        <v>101672</v>
      </c>
      <c r="I5" s="15" t="n">
        <v>101.67</v>
      </c>
      <c r="J5" s="16">
        <f>I5/L5</f>
        <v/>
      </c>
      <c r="K5" s="17" t="n">
        <v>642212</v>
      </c>
      <c r="L5" s="18" t="n">
        <v>642.2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3" t="n">
        <v>2040</v>
      </c>
      <c r="B6" s="14" t="n">
        <v>478010</v>
      </c>
      <c r="C6" s="15" t="n">
        <v>478.01</v>
      </c>
      <c r="D6" s="16">
        <f>C6/L6</f>
        <v/>
      </c>
      <c r="E6" s="14" t="n">
        <v>94010</v>
      </c>
      <c r="F6" s="15" t="n">
        <v>94.01000000000001</v>
      </c>
      <c r="G6" s="16">
        <f>F6/L6</f>
        <v/>
      </c>
      <c r="H6" s="14" t="n">
        <v>114546</v>
      </c>
      <c r="I6" s="15" t="n">
        <v>114.54</v>
      </c>
      <c r="J6" s="16">
        <f>I6/L6</f>
        <v/>
      </c>
      <c r="K6" s="17" t="n">
        <v>686566</v>
      </c>
      <c r="L6" s="18" t="n">
        <v>686.5599999999999</v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3" t="n">
        <v>2050</v>
      </c>
      <c r="B7" s="14" t="n">
        <v>496713</v>
      </c>
      <c r="C7" s="15" t="n">
        <v>496.71</v>
      </c>
      <c r="D7" s="16">
        <f>C7/L7</f>
        <v/>
      </c>
      <c r="E7" s="14" t="n">
        <v>102917</v>
      </c>
      <c r="F7" s="15" t="n">
        <v>102.91</v>
      </c>
      <c r="G7" s="16">
        <f>F7/L7</f>
        <v/>
      </c>
      <c r="H7" s="14" t="n">
        <v>127786</v>
      </c>
      <c r="I7" s="15" t="n">
        <v>127.78</v>
      </c>
      <c r="J7" s="16">
        <f>I7/L7</f>
        <v/>
      </c>
      <c r="K7" s="17" t="n">
        <v>727416</v>
      </c>
      <c r="L7" s="18" t="n">
        <v>727.4</v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9" t="n">
        <v>2060</v>
      </c>
      <c r="B8" s="20" t="n">
        <v>511536</v>
      </c>
      <c r="C8" s="21" t="n">
        <v>511.53</v>
      </c>
      <c r="D8" s="22">
        <f>C8/L8</f>
        <v/>
      </c>
      <c r="E8" s="20" t="n">
        <v>111839</v>
      </c>
      <c r="F8" s="21" t="n">
        <v>111.83</v>
      </c>
      <c r="G8" s="22">
        <f>F8/L8</f>
        <v/>
      </c>
      <c r="H8" s="20" t="n">
        <v>141815</v>
      </c>
      <c r="I8" s="21" t="n">
        <v>141.81</v>
      </c>
      <c r="J8" s="22">
        <f>I8/L8</f>
        <v/>
      </c>
      <c r="K8" s="23" t="n">
        <v>765190</v>
      </c>
      <c r="L8" s="24" t="n">
        <v>765.17</v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H1:J1"/>
    <mergeCell ref="B1:D1"/>
    <mergeCell ref="K1:L1"/>
    <mergeCell ref="E1:G1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RowHeight="16"/>
  <sheetData>
    <row r="1">
      <c r="A1" s="32" t="inlineStr">
        <is>
          <t>ORIGEN</t>
        </is>
      </c>
      <c r="B1" s="32" t="inlineStr">
        <is>
          <t>TON_ACTUAL_DIA</t>
        </is>
      </c>
      <c r="C1" s="32" t="inlineStr">
        <is>
          <t>PARTICIPACION_%</t>
        </is>
      </c>
      <c r="D1" s="32" t="inlineStr">
        <is>
          <t>TON_PROYECTADA_800</t>
        </is>
      </c>
    </row>
    <row r="2">
      <c r="A2" t="inlineStr">
        <is>
          <t>Santa Fe</t>
        </is>
      </c>
      <c r="B2" t="n">
        <v>444.83</v>
      </c>
      <c r="C2" s="33" t="n">
        <v>0.7326</v>
      </c>
      <c r="D2" t="n">
        <v>586.0599999999999</v>
      </c>
    </row>
    <row r="3">
      <c r="A3" t="inlineStr">
        <is>
          <t>Santo Tomé</t>
        </is>
      </c>
      <c r="B3" t="n">
        <v>81.53</v>
      </c>
      <c r="C3" s="33" t="n">
        <v>0.1343</v>
      </c>
      <c r="D3" t="n">
        <v>107.46</v>
      </c>
    </row>
    <row r="4">
      <c r="A4" t="inlineStr">
        <is>
          <t>OA Metrop</t>
        </is>
      </c>
      <c r="B4" t="n">
        <v>80.8</v>
      </c>
      <c r="C4" s="33" t="n">
        <v>0.1331</v>
      </c>
      <c r="D4" t="n">
        <v>106.48</v>
      </c>
    </row>
    <row r="9">
      <c r="A9" t="inlineStr">
        <is>
          <t>PARTICIPACION_% = TON_ACTUAL_DIA / SUMA(TON_ACTUAL_DIA)</t>
        </is>
      </c>
    </row>
    <row r="10">
      <c r="A10" t="inlineStr">
        <is>
          <t>TON_PROYECTADA_800 = PARTICIPACION_% * 800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10" defaultRowHeight="16"/>
  <cols>
    <col width="20.6640625" customWidth="1" min="2" max="2"/>
    <col width="13.33203125" customWidth="1" min="3" max="4"/>
  </cols>
  <sheetData>
    <row r="1">
      <c r="A1" s="32" t="inlineStr">
        <is>
          <t>ID</t>
        </is>
      </c>
      <c r="B1" s="32" t="inlineStr">
        <is>
          <t>NOMBRE</t>
        </is>
      </c>
      <c r="C1" s="32" t="inlineStr">
        <is>
          <t>TIPO</t>
        </is>
      </c>
      <c r="D1" s="32" t="inlineStr">
        <is>
          <t>TAMAÑO</t>
        </is>
      </c>
      <c r="E1" s="32" t="inlineStr">
        <is>
          <t>CAPACIDAD_TN_DIA</t>
        </is>
      </c>
      <c r="F1" s="32" t="inlineStr">
        <is>
          <t>LATITUD</t>
        </is>
      </c>
      <c r="G1" s="32" t="inlineStr">
        <is>
          <t>LONGITUD</t>
        </is>
      </c>
      <c r="H1" s="32" t="inlineStr">
        <is>
          <t>FIJO_VARIABLE</t>
        </is>
      </c>
    </row>
    <row r="2">
      <c r="A2" t="inlineStr">
        <is>
          <t>ET1</t>
        </is>
      </c>
      <c r="B2" t="inlineStr">
        <is>
          <t>Santa Fe</t>
        </is>
      </c>
      <c r="C2" t="inlineStr">
        <is>
          <t>ET</t>
        </is>
      </c>
      <c r="D2" t="inlineStr">
        <is>
          <t>Mediana</t>
        </is>
      </c>
      <c r="E2" t="n">
        <v>100</v>
      </c>
      <c r="F2" s="6" t="n">
        <v>-31.59</v>
      </c>
      <c r="G2" s="6" t="n">
        <v>-60.75</v>
      </c>
      <c r="H2" t="inlineStr">
        <is>
          <t>Fijo</t>
        </is>
      </c>
    </row>
    <row r="3">
      <c r="A3" t="inlineStr">
        <is>
          <t>ET2</t>
        </is>
      </c>
      <c r="B3" t="inlineStr">
        <is>
          <t>Santo Tomé</t>
        </is>
      </c>
      <c r="C3" t="inlineStr">
        <is>
          <t>ET</t>
        </is>
      </c>
      <c r="D3" t="inlineStr">
        <is>
          <t>Mediana</t>
        </is>
      </c>
      <c r="E3" t="n">
        <v>100</v>
      </c>
      <c r="F3" s="35" t="n">
        <v>-31.66</v>
      </c>
      <c r="G3" s="35" t="n">
        <v>-60.79</v>
      </c>
      <c r="H3" t="inlineStr">
        <is>
          <t>Fijo</t>
        </is>
      </c>
    </row>
    <row r="4">
      <c r="A4" t="inlineStr">
        <is>
          <t>ET3</t>
        </is>
      </c>
      <c r="B4" t="inlineStr">
        <is>
          <t>Recreo</t>
        </is>
      </c>
      <c r="C4" t="inlineStr">
        <is>
          <t>ET</t>
        </is>
      </c>
      <c r="D4" t="inlineStr">
        <is>
          <t>Pequeña</t>
        </is>
      </c>
      <c r="E4" t="n">
        <v>50</v>
      </c>
      <c r="F4" s="35" t="n">
        <v>-31.48</v>
      </c>
      <c r="G4" s="35" t="n">
        <v>-60.75</v>
      </c>
      <c r="H4" t="inlineStr">
        <is>
          <t>Fijo</t>
        </is>
      </c>
    </row>
    <row r="5">
      <c r="A5" t="inlineStr">
        <is>
          <t>ET4</t>
        </is>
      </c>
      <c r="B5" t="inlineStr">
        <is>
          <t>Rincón</t>
        </is>
      </c>
      <c r="C5" t="inlineStr">
        <is>
          <t>ET</t>
        </is>
      </c>
      <c r="D5" t="inlineStr">
        <is>
          <t>Pequeña</t>
        </is>
      </c>
      <c r="E5" t="n">
        <v>50</v>
      </c>
      <c r="F5" s="35" t="n">
        <v>-31.63</v>
      </c>
      <c r="G5" s="35" t="n">
        <v>-60.62</v>
      </c>
      <c r="H5" t="inlineStr">
        <is>
          <t>Fijo</t>
        </is>
      </c>
    </row>
    <row r="6">
      <c r="A6" t="inlineStr">
        <is>
          <t>PE1</t>
        </is>
      </c>
      <c r="B6" t="inlineStr">
        <is>
          <t>Planta Energía Actual RS</t>
        </is>
      </c>
      <c r="C6" t="inlineStr">
        <is>
          <t>Planta</t>
        </is>
      </c>
      <c r="D6" t="inlineStr">
        <is>
          <t>-</t>
        </is>
      </c>
      <c r="E6" t="n">
        <v>100</v>
      </c>
      <c r="F6" s="6" t="n">
        <v>-31.6</v>
      </c>
      <c r="G6" s="6" t="n">
        <v>-60.75</v>
      </c>
      <c r="H6" t="inlineStr">
        <is>
          <t>Fijo</t>
        </is>
      </c>
    </row>
    <row r="7">
      <c r="A7" t="inlineStr">
        <is>
          <t>FRS1</t>
        </is>
      </c>
      <c r="B7" t="inlineStr">
        <is>
          <t>Colonia San José</t>
        </is>
      </c>
      <c r="C7" t="inlineStr">
        <is>
          <t>Futuro RS</t>
        </is>
      </c>
      <c r="D7" t="inlineStr">
        <is>
          <t>-</t>
        </is>
      </c>
      <c r="E7" t="n">
        <v>800</v>
      </c>
      <c r="F7" s="35" t="n">
        <v>-31.59</v>
      </c>
      <c r="G7" s="35" t="n">
        <v>-60.87</v>
      </c>
      <c r="H7" t="inlineStr">
        <is>
          <t>Variable</t>
        </is>
      </c>
    </row>
    <row r="8">
      <c r="A8" t="inlineStr">
        <is>
          <t>FRS2</t>
        </is>
      </c>
      <c r="B8" t="inlineStr">
        <is>
          <t>Empalme San Carlos</t>
        </is>
      </c>
      <c r="C8" t="inlineStr">
        <is>
          <t>Futuro RS</t>
        </is>
      </c>
      <c r="D8" t="inlineStr">
        <is>
          <t>-</t>
        </is>
      </c>
      <c r="E8" t="n">
        <v>800</v>
      </c>
      <c r="F8" s="35" t="n">
        <v>-31.54</v>
      </c>
      <c r="G8" s="35" t="n">
        <v>-60.81</v>
      </c>
      <c r="H8" t="inlineStr">
        <is>
          <t>Variable</t>
        </is>
      </c>
    </row>
    <row r="9">
      <c r="A9" t="inlineStr">
        <is>
          <t>FRS3</t>
        </is>
      </c>
      <c r="B9" t="inlineStr">
        <is>
          <t>Sauce Viejo</t>
        </is>
      </c>
      <c r="C9" t="inlineStr">
        <is>
          <t>Futuro RS</t>
        </is>
      </c>
      <c r="D9" t="inlineStr">
        <is>
          <t>-</t>
        </is>
      </c>
      <c r="E9" t="n">
        <v>800</v>
      </c>
      <c r="F9" s="35" t="n">
        <v>-31.76</v>
      </c>
      <c r="G9" s="35" t="n">
        <v>-60.83</v>
      </c>
      <c r="H9" t="inlineStr">
        <is>
          <t>Variable</t>
        </is>
      </c>
    </row>
    <row r="10"/>
    <row r="11"/>
    <row r="12"/>
    <row r="13"/>
    <row r="14">
      <c r="A14" s="32" t="n"/>
      <c r="B14" s="32" t="n"/>
      <c r="C14" s="32" t="n"/>
      <c r="D14" s="32" t="n"/>
    </row>
    <row r="15">
      <c r="C15" s="34" t="n"/>
      <c r="D15" s="34" t="n"/>
    </row>
    <row r="16">
      <c r="C16" s="34" t="n"/>
      <c r="D16" s="34" t="n"/>
    </row>
    <row r="17">
      <c r="C17" s="34" t="n"/>
      <c r="D17" s="34" t="n"/>
    </row>
    <row r="18">
      <c r="C18" s="34" t="n"/>
      <c r="D18" s="34" t="n"/>
    </row>
    <row r="19">
      <c r="C19" s="34" t="n"/>
      <c r="D19" s="34" t="n"/>
    </row>
    <row r="20">
      <c r="C20" s="34" t="n"/>
      <c r="D20" s="3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RowHeight="16"/>
  <sheetData>
    <row r="1">
      <c r="A1" s="32" t="inlineStr">
        <is>
          <t>ESCENARIO</t>
        </is>
      </c>
      <c r="B1" s="32" t="inlineStr">
        <is>
          <t>GENERACION_TOTAL</t>
        </is>
      </c>
      <c r="C1" s="32" t="inlineStr">
        <is>
          <t>TON_A_RELLENO</t>
        </is>
      </c>
      <c r="D1" s="32" t="inlineStr">
        <is>
          <t>TON_A_ET</t>
        </is>
      </c>
      <c r="E1" s="32" t="inlineStr">
        <is>
          <t>TON_A_PLANTA</t>
        </is>
      </c>
    </row>
    <row r="2">
      <c r="A2" t="inlineStr">
        <is>
          <t>Actual 600</t>
        </is>
      </c>
      <c r="B2" t="n">
        <v>600</v>
      </c>
      <c r="C2" t="n">
        <v>600</v>
      </c>
      <c r="D2" t="n">
        <v>0</v>
      </c>
      <c r="E2" t="n">
        <v>0</v>
      </c>
    </row>
    <row r="3">
      <c r="A3" t="inlineStr">
        <is>
          <t>Futuro 800 - Alternativa 1</t>
        </is>
      </c>
      <c r="B3" t="n">
        <v>800</v>
      </c>
      <c r="C3" t="n">
        <v>800</v>
      </c>
      <c r="D3" t="n">
        <v>0</v>
      </c>
      <c r="E3" t="n">
        <v>0</v>
      </c>
    </row>
    <row r="4">
      <c r="A4" t="inlineStr">
        <is>
          <t>Futuro 800 - Alternativa 2</t>
        </is>
      </c>
      <c r="B4" t="n">
        <v>800</v>
      </c>
      <c r="C4" t="n">
        <v>500</v>
      </c>
      <c r="D4" t="n">
        <v>300</v>
      </c>
      <c r="E4" t="n">
        <v>0</v>
      </c>
    </row>
    <row r="5">
      <c r="A5" t="inlineStr">
        <is>
          <t>Futuro 800 - Alternativa 3</t>
        </is>
      </c>
      <c r="B5" t="n">
        <v>800</v>
      </c>
      <c r="C5" t="n">
        <v>400</v>
      </c>
      <c r="D5" t="n">
        <v>300</v>
      </c>
      <c r="E5" t="n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10" defaultRowHeight="16"/>
  <sheetData>
    <row r="1">
      <c r="A1" s="32" t="inlineStr">
        <is>
          <t>ESCENARIO</t>
        </is>
      </c>
      <c r="B1" s="32" t="inlineStr">
        <is>
          <t>DESTINO_ID</t>
        </is>
      </c>
      <c r="C1" s="32" t="inlineStr">
        <is>
          <t>DESTINO</t>
        </is>
      </c>
      <c r="D1" s="32" t="inlineStr">
        <is>
          <t>TIPO</t>
        </is>
      </c>
      <c r="E1" s="32" t="inlineStr">
        <is>
          <t>TON_DIA</t>
        </is>
      </c>
    </row>
    <row r="2">
      <c r="A2" t="inlineStr">
        <is>
          <t>Futuro 800 - Alternativa 2</t>
        </is>
      </c>
      <c r="B2" t="inlineStr">
        <is>
          <t>ET1</t>
        </is>
      </c>
      <c r="C2" t="inlineStr">
        <is>
          <t>Santa Fe</t>
        </is>
      </c>
      <c r="D2" t="inlineStr">
        <is>
          <t>ET Mediana</t>
        </is>
      </c>
      <c r="E2" t="n">
        <v>100</v>
      </c>
    </row>
    <row r="3">
      <c r="A3" t="inlineStr">
        <is>
          <t>Futuro 800 - Alternativa 2</t>
        </is>
      </c>
      <c r="B3" t="inlineStr">
        <is>
          <t>ET2</t>
        </is>
      </c>
      <c r="C3" t="inlineStr">
        <is>
          <t>Santo Tomé</t>
        </is>
      </c>
      <c r="D3" t="inlineStr">
        <is>
          <t>ET Mediana</t>
        </is>
      </c>
      <c r="E3" t="n">
        <v>100</v>
      </c>
    </row>
    <row r="4">
      <c r="A4" t="inlineStr">
        <is>
          <t>Futuro 800 - Alternativa 2</t>
        </is>
      </c>
      <c r="B4" t="inlineStr">
        <is>
          <t>ET3</t>
        </is>
      </c>
      <c r="C4" t="inlineStr">
        <is>
          <t>Recreo</t>
        </is>
      </c>
      <c r="D4" t="inlineStr">
        <is>
          <t>ET Pequeña</t>
        </is>
      </c>
      <c r="E4" t="n">
        <v>50</v>
      </c>
    </row>
    <row r="5">
      <c r="A5" t="inlineStr">
        <is>
          <t>Futuro 800 - Alternativa 2</t>
        </is>
      </c>
      <c r="B5" t="inlineStr">
        <is>
          <t>ET4</t>
        </is>
      </c>
      <c r="C5" t="inlineStr">
        <is>
          <t>Rincón</t>
        </is>
      </c>
      <c r="D5" t="inlineStr">
        <is>
          <t>ET Pequeña</t>
        </is>
      </c>
      <c r="E5" t="n">
        <v>50</v>
      </c>
    </row>
    <row r="6">
      <c r="A6" t="inlineStr">
        <is>
          <t>Futuro 800 - Alternativa 3</t>
        </is>
      </c>
      <c r="B6" t="inlineStr">
        <is>
          <t>ET1</t>
        </is>
      </c>
      <c r="C6" t="inlineStr">
        <is>
          <t>Santa Fe</t>
        </is>
      </c>
      <c r="D6" t="inlineStr">
        <is>
          <t>ET Mediana</t>
        </is>
      </c>
      <c r="E6" t="n">
        <v>100</v>
      </c>
    </row>
    <row r="7">
      <c r="A7" t="inlineStr">
        <is>
          <t>Futuro 800 - Alternativa 3</t>
        </is>
      </c>
      <c r="B7" t="inlineStr">
        <is>
          <t>ET2</t>
        </is>
      </c>
      <c r="C7" t="inlineStr">
        <is>
          <t>Santo Tomé</t>
        </is>
      </c>
      <c r="D7" t="inlineStr">
        <is>
          <t>ET Mediana</t>
        </is>
      </c>
      <c r="E7" t="n">
        <v>100</v>
      </c>
    </row>
    <row r="8">
      <c r="A8" t="inlineStr">
        <is>
          <t>Futuro 800 - Alternativa 3</t>
        </is>
      </c>
      <c r="B8" t="inlineStr">
        <is>
          <t>ET3</t>
        </is>
      </c>
      <c r="C8" t="inlineStr">
        <is>
          <t>Recreo</t>
        </is>
      </c>
      <c r="D8" t="inlineStr">
        <is>
          <t>ET Pequeña</t>
        </is>
      </c>
      <c r="E8" t="n">
        <v>50</v>
      </c>
    </row>
    <row r="9">
      <c r="A9" t="inlineStr">
        <is>
          <t>Futuro 800 - Alternativa 3</t>
        </is>
      </c>
      <c r="B9" t="inlineStr">
        <is>
          <t>ET4</t>
        </is>
      </c>
      <c r="C9" t="inlineStr">
        <is>
          <t>Rincón</t>
        </is>
      </c>
      <c r="D9" t="inlineStr">
        <is>
          <t>ET Pequeña</t>
        </is>
      </c>
      <c r="E9" t="n">
        <v>50</v>
      </c>
    </row>
    <row r="10">
      <c r="A10" t="inlineStr">
        <is>
          <t>Futuro 800 - Alternativa 3</t>
        </is>
      </c>
      <c r="B10" t="inlineStr">
        <is>
          <t>PE1</t>
        </is>
      </c>
      <c r="C10" t="inlineStr">
        <is>
          <t>Planta de Energía - Actual RS</t>
        </is>
      </c>
      <c r="D10" t="inlineStr">
        <is>
          <t>Planta Energía</t>
        </is>
      </c>
      <c r="E10" t="n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10" defaultRowHeight="16"/>
  <sheetData>
    <row r="1">
      <c r="A1" s="32" t="inlineStr">
        <is>
          <t>ID_RELLENO</t>
        </is>
      </c>
      <c r="B1" s="32" t="inlineStr">
        <is>
          <t>NOMBRE</t>
        </is>
      </c>
      <c r="C1" s="32" t="inlineStr">
        <is>
          <t>LATITUD</t>
        </is>
      </c>
      <c r="D1" s="32" t="inlineStr">
        <is>
          <t>LONGITUD</t>
        </is>
      </c>
      <c r="E1" s="32" t="inlineStr">
        <is>
          <t>OBSERVACION</t>
        </is>
      </c>
    </row>
    <row r="2">
      <c r="A2" t="inlineStr">
        <is>
          <t>FRS1</t>
        </is>
      </c>
      <c r="B2" t="inlineStr">
        <is>
          <t>Colonia San José</t>
        </is>
      </c>
      <c r="C2" t="n">
        <v>-31.59</v>
      </c>
      <c r="D2" t="n">
        <v>-60.87</v>
      </c>
      <c r="E2" t="inlineStr">
        <is>
          <t>Coordenada centro urbano</t>
        </is>
      </c>
    </row>
    <row r="3">
      <c r="A3" t="inlineStr">
        <is>
          <t>FRS2</t>
        </is>
      </c>
      <c r="B3" t="inlineStr">
        <is>
          <t>Empalme San Carlos</t>
        </is>
      </c>
      <c r="C3" t="n">
        <v>-31.54</v>
      </c>
      <c r="D3" t="n">
        <v>-60.81</v>
      </c>
      <c r="E3" t="inlineStr">
        <is>
          <t>Coordenada centro urbano</t>
        </is>
      </c>
    </row>
    <row r="4">
      <c r="A4" t="inlineStr">
        <is>
          <t>FRS3</t>
        </is>
      </c>
      <c r="B4" t="inlineStr">
        <is>
          <t>Sauce Viejo</t>
        </is>
      </c>
      <c r="C4" t="n">
        <v>-31.76</v>
      </c>
      <c r="D4" t="n">
        <v>-60.83</v>
      </c>
      <c r="E4" t="inlineStr">
        <is>
          <t>Coordenada centro urbano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RowHeight="16"/>
  <sheetData>
    <row r="1">
      <c r="A1" s="32" t="inlineStr">
        <is>
          <t>PARAMETRO</t>
        </is>
      </c>
      <c r="B1" s="32" t="inlineStr">
        <is>
          <t>VALOR</t>
        </is>
      </c>
    </row>
    <row r="2">
      <c r="A2" t="inlineStr">
        <is>
          <t>Toneladas actuales día</t>
        </is>
      </c>
      <c r="B2" t="n">
        <v>600</v>
      </c>
    </row>
    <row r="3">
      <c r="A3" t="inlineStr">
        <is>
          <t>Toneladas proyectadas día</t>
        </is>
      </c>
      <c r="B3" t="n">
        <v>800</v>
      </c>
    </row>
    <row r="4">
      <c r="A4" t="inlineStr">
        <is>
          <t>Horizonte proyección años</t>
        </is>
      </c>
      <c r="B4" t="n">
        <v>30</v>
      </c>
    </row>
    <row r="5">
      <c r="A5" t="inlineStr">
        <is>
          <t>Capacidad ET mediana</t>
        </is>
      </c>
      <c r="B5" t="n">
        <v>100</v>
      </c>
    </row>
    <row r="6">
      <c r="A6" t="inlineStr">
        <is>
          <t>Capacidad ET pequeña</t>
        </is>
      </c>
      <c r="B6" t="n">
        <v>50</v>
      </c>
    </row>
    <row r="7">
      <c r="A7" t="inlineStr">
        <is>
          <t>Capacidad planta energía</t>
        </is>
      </c>
      <c r="B7" t="n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selection activeCell="A1" sqref="A1"/>
    </sheetView>
  </sheetViews>
  <sheetFormatPr baseColWidth="10" defaultColWidth="8.83203125" defaultRowHeight="16"/>
  <cols>
    <col width="22" customWidth="1" min="1" max="1"/>
    <col width="12" customWidth="1" min="2" max="2"/>
    <col width="20" customWidth="1" min="3" max="3"/>
    <col width="18" customWidth="1" min="4" max="4"/>
    <col width="13" customWidth="1" min="5" max="6"/>
    <col width="12" customWidth="1" min="7" max="7"/>
    <col width="24" customWidth="1" min="8" max="8"/>
    <col width="16" customWidth="1" min="9" max="9"/>
    <col width="13" customWidth="1" min="10" max="11"/>
    <col width="12" customWidth="1" min="12" max="13"/>
    <col width="14" customWidth="1" min="14" max="15"/>
    <col width="38" customWidth="1" min="16" max="16"/>
  </cols>
  <sheetData>
    <row r="1" ht="34" customHeight="1">
      <c r="A1" s="36" t="inlineStr">
        <is>
          <t>TIPO_FLUJO</t>
        </is>
      </c>
      <c r="B1" s="36" t="inlineStr">
        <is>
          <t>ORIGEN_ID</t>
        </is>
      </c>
      <c r="C1" s="36" t="inlineStr">
        <is>
          <t>ORIGEN</t>
        </is>
      </c>
      <c r="D1" s="36" t="inlineStr">
        <is>
          <t>ORIGEN_TIPO</t>
        </is>
      </c>
      <c r="E1" s="36" t="inlineStr">
        <is>
          <t>ORIGEN_LAT</t>
        </is>
      </c>
      <c r="F1" s="36" t="inlineStr">
        <is>
          <t>ORIGEN_LON</t>
        </is>
      </c>
      <c r="G1" s="36" t="inlineStr">
        <is>
          <t>DESTINO_ID</t>
        </is>
      </c>
      <c r="H1" s="36" t="inlineStr">
        <is>
          <t>DESTINO</t>
        </is>
      </c>
      <c r="I1" s="36" t="inlineStr">
        <is>
          <t>DESTINO_TIPO</t>
        </is>
      </c>
      <c r="J1" s="36" t="inlineStr">
        <is>
          <t>DESTINO_LAT</t>
        </is>
      </c>
      <c r="K1" s="36" t="inlineStr">
        <is>
          <t>DESTINO_LON</t>
        </is>
      </c>
      <c r="L1" s="36" t="inlineStr">
        <is>
          <t>KM_LINEAL</t>
        </is>
      </c>
      <c r="M1" s="36" t="inlineStr">
        <is>
          <t>FACTOR_RUTA</t>
        </is>
      </c>
      <c r="N1" s="36" t="inlineStr">
        <is>
          <t>KM_OPERATIVO</t>
        </is>
      </c>
      <c r="O1" s="36" t="inlineStr">
        <is>
          <t>KM_RUTA_REAL</t>
        </is>
      </c>
      <c r="P1" s="36" t="inlineStr">
        <is>
          <t>OBSERVACION</t>
        </is>
      </c>
    </row>
    <row r="2" ht="17" customHeight="1">
      <c r="A2" s="37" t="inlineStr">
        <is>
          <t>Origen → Futuro RS</t>
        </is>
      </c>
      <c r="B2" s="37" t="inlineStr">
        <is>
          <t>ORG1</t>
        </is>
      </c>
      <c r="C2" s="37" t="inlineStr">
        <is>
          <t>Santa Fe</t>
        </is>
      </c>
      <c r="D2" s="37" t="inlineStr">
        <is>
          <t>Origen generación</t>
        </is>
      </c>
      <c r="E2" s="38" t="n">
        <v>-31.6333</v>
      </c>
      <c r="F2" s="38" t="n">
        <v>-60.7</v>
      </c>
      <c r="G2" s="37" t="inlineStr">
        <is>
          <t>FRS1</t>
        </is>
      </c>
      <c r="H2" s="37" t="inlineStr">
        <is>
          <t>Colonia San José</t>
        </is>
      </c>
      <c r="I2" s="37" t="inlineStr">
        <is>
          <t>Futuro RS</t>
        </is>
      </c>
      <c r="J2" s="38" t="n">
        <v>-31.59</v>
      </c>
      <c r="K2" s="38" t="n">
        <v>-60.87</v>
      </c>
      <c r="L2" s="39" t="n">
        <v>16.8</v>
      </c>
      <c r="M2" s="39" t="n">
        <v>1.25</v>
      </c>
      <c r="N2" s="39">
        <f>IF(O2&lt;&gt;"",O2,L2*M2)</f>
        <v/>
      </c>
      <c r="O2" s="39" t="n"/>
      <c r="P2" s="37" t="inlineStr">
        <is>
          <t>Coordenada referencial centro urbano</t>
        </is>
      </c>
    </row>
    <row r="3" ht="17" customHeight="1">
      <c r="A3" s="37" t="inlineStr">
        <is>
          <t>Origen → Futuro RS</t>
        </is>
      </c>
      <c r="B3" s="37" t="inlineStr">
        <is>
          <t>ORG1</t>
        </is>
      </c>
      <c r="C3" s="37" t="inlineStr">
        <is>
          <t>Santa Fe</t>
        </is>
      </c>
      <c r="D3" s="37" t="inlineStr">
        <is>
          <t>Origen generación</t>
        </is>
      </c>
      <c r="E3" s="38" t="n">
        <v>-31.6333</v>
      </c>
      <c r="F3" s="38" t="n">
        <v>-60.7</v>
      </c>
      <c r="G3" s="37" t="inlineStr">
        <is>
          <t>FRS2</t>
        </is>
      </c>
      <c r="H3" s="37" t="inlineStr">
        <is>
          <t>Empalme San Carlos</t>
        </is>
      </c>
      <c r="I3" s="37" t="inlineStr">
        <is>
          <t>Futuro RS</t>
        </is>
      </c>
      <c r="J3" s="38" t="n">
        <v>-31.54</v>
      </c>
      <c r="K3" s="38" t="n">
        <v>-60.81</v>
      </c>
      <c r="L3" s="39" t="n">
        <v>14.7</v>
      </c>
      <c r="M3" s="39" t="n">
        <v>1.25</v>
      </c>
      <c r="N3" s="39">
        <f>IF(O3&lt;&gt;"",O3,L3*M3)</f>
        <v/>
      </c>
      <c r="O3" s="39" t="n"/>
      <c r="P3" s="37" t="inlineStr">
        <is>
          <t>Coordenada referencial centro urbano</t>
        </is>
      </c>
    </row>
    <row r="4" ht="17" customHeight="1">
      <c r="A4" s="37" t="inlineStr">
        <is>
          <t>Origen → Futuro RS</t>
        </is>
      </c>
      <c r="B4" s="37" t="inlineStr">
        <is>
          <t>ORG1</t>
        </is>
      </c>
      <c r="C4" s="37" t="inlineStr">
        <is>
          <t>Santa Fe</t>
        </is>
      </c>
      <c r="D4" s="37" t="inlineStr">
        <is>
          <t>Origen generación</t>
        </is>
      </c>
      <c r="E4" s="38" t="n">
        <v>-31.6333</v>
      </c>
      <c r="F4" s="38" t="n">
        <v>-60.7</v>
      </c>
      <c r="G4" s="37" t="inlineStr">
        <is>
          <t>FRS3</t>
        </is>
      </c>
      <c r="H4" s="37" t="inlineStr">
        <is>
          <t>Sauce Viejo</t>
        </is>
      </c>
      <c r="I4" s="37" t="inlineStr">
        <is>
          <t>Futuro RS</t>
        </is>
      </c>
      <c r="J4" s="38" t="n">
        <v>-31.76</v>
      </c>
      <c r="K4" s="38" t="n">
        <v>-60.83</v>
      </c>
      <c r="L4" s="39" t="n">
        <v>18.7</v>
      </c>
      <c r="M4" s="39" t="n">
        <v>1.25</v>
      </c>
      <c r="N4" s="39">
        <f>IF(O4&lt;&gt;"",O4,L4*M4)</f>
        <v/>
      </c>
      <c r="O4" s="39" t="n"/>
      <c r="P4" s="37" t="inlineStr">
        <is>
          <t>Coordenada referencial centro urbano</t>
        </is>
      </c>
    </row>
    <row r="5" ht="17" customHeight="1">
      <c r="A5" s="37" t="inlineStr">
        <is>
          <t>Origen → Futuro RS</t>
        </is>
      </c>
      <c r="B5" s="37" t="inlineStr">
        <is>
          <t>ORG2</t>
        </is>
      </c>
      <c r="C5" s="37" t="inlineStr">
        <is>
          <t>Santo Tomé</t>
        </is>
      </c>
      <c r="D5" s="37" t="inlineStr">
        <is>
          <t>Origen generación</t>
        </is>
      </c>
      <c r="E5" s="38" t="n">
        <v>-31.66</v>
      </c>
      <c r="F5" s="38" t="n">
        <v>-60.76</v>
      </c>
      <c r="G5" s="37" t="inlineStr">
        <is>
          <t>FRS1</t>
        </is>
      </c>
      <c r="H5" s="37" t="inlineStr">
        <is>
          <t>Colonia San José</t>
        </is>
      </c>
      <c r="I5" s="37" t="inlineStr">
        <is>
          <t>Futuro RS</t>
        </is>
      </c>
      <c r="J5" s="38" t="n">
        <v>-31.59</v>
      </c>
      <c r="K5" s="38" t="n">
        <v>-60.87</v>
      </c>
      <c r="L5" s="39" t="n">
        <v>13</v>
      </c>
      <c r="M5" s="39" t="n">
        <v>1.25</v>
      </c>
      <c r="N5" s="39">
        <f>IF(O5&lt;&gt;"",O5,L5*M5)</f>
        <v/>
      </c>
      <c r="O5" s="39" t="n"/>
      <c r="P5" s="37" t="inlineStr">
        <is>
          <t>Coordenada referencial centro urbano</t>
        </is>
      </c>
    </row>
    <row r="6" ht="17" customHeight="1">
      <c r="A6" s="37" t="inlineStr">
        <is>
          <t>Origen → Futuro RS</t>
        </is>
      </c>
      <c r="B6" s="37" t="inlineStr">
        <is>
          <t>ORG2</t>
        </is>
      </c>
      <c r="C6" s="37" t="inlineStr">
        <is>
          <t>Santo Tomé</t>
        </is>
      </c>
      <c r="D6" s="37" t="inlineStr">
        <is>
          <t>Origen generación</t>
        </is>
      </c>
      <c r="E6" s="38" t="n">
        <v>-31.66</v>
      </c>
      <c r="F6" s="38" t="n">
        <v>-60.76</v>
      </c>
      <c r="G6" s="37" t="inlineStr">
        <is>
          <t>FRS2</t>
        </is>
      </c>
      <c r="H6" s="37" t="inlineStr">
        <is>
          <t>Empalme San Carlos</t>
        </is>
      </c>
      <c r="I6" s="37" t="inlineStr">
        <is>
          <t>Futuro RS</t>
        </is>
      </c>
      <c r="J6" s="38" t="n">
        <v>-31.54</v>
      </c>
      <c r="K6" s="38" t="n">
        <v>-60.81</v>
      </c>
      <c r="L6" s="39" t="n">
        <v>14.16</v>
      </c>
      <c r="M6" s="39" t="n">
        <v>1.25</v>
      </c>
      <c r="N6" s="39">
        <f>IF(O6&lt;&gt;"",O6,L6*M6)</f>
        <v/>
      </c>
      <c r="O6" s="39" t="n"/>
      <c r="P6" s="37" t="inlineStr">
        <is>
          <t>Coordenada referencial centro urbano</t>
        </is>
      </c>
    </row>
    <row r="7" ht="17" customHeight="1">
      <c r="A7" s="37" t="inlineStr">
        <is>
          <t>Origen → Futuro RS</t>
        </is>
      </c>
      <c r="B7" s="37" t="inlineStr">
        <is>
          <t>ORG2</t>
        </is>
      </c>
      <c r="C7" s="37" t="inlineStr">
        <is>
          <t>Santo Tomé</t>
        </is>
      </c>
      <c r="D7" s="37" t="inlineStr">
        <is>
          <t>Origen generación</t>
        </is>
      </c>
      <c r="E7" s="38" t="n">
        <v>-31.66</v>
      </c>
      <c r="F7" s="38" t="n">
        <v>-60.76</v>
      </c>
      <c r="G7" s="37" t="inlineStr">
        <is>
          <t>FRS3</t>
        </is>
      </c>
      <c r="H7" s="37" t="inlineStr">
        <is>
          <t>Sauce Viejo</t>
        </is>
      </c>
      <c r="I7" s="37" t="inlineStr">
        <is>
          <t>Futuro RS</t>
        </is>
      </c>
      <c r="J7" s="38" t="n">
        <v>-31.76</v>
      </c>
      <c r="K7" s="38" t="n">
        <v>-60.83</v>
      </c>
      <c r="L7" s="39" t="n">
        <v>12.94</v>
      </c>
      <c r="M7" s="39" t="n">
        <v>1.25</v>
      </c>
      <c r="N7" s="39">
        <f>IF(O7&lt;&gt;"",O7,L7*M7)</f>
        <v/>
      </c>
      <c r="O7" s="39" t="n"/>
      <c r="P7" s="37" t="inlineStr">
        <is>
          <t>Coordenada referencial centro urbano</t>
        </is>
      </c>
    </row>
    <row r="8" ht="34" customHeight="1">
      <c r="A8" s="37" t="inlineStr">
        <is>
          <t>Origen → Futuro RS</t>
        </is>
      </c>
      <c r="B8" s="37" t="inlineStr">
        <is>
          <t>ORG3</t>
        </is>
      </c>
      <c r="C8" s="37" t="inlineStr">
        <is>
          <t>OA Metrop</t>
        </is>
      </c>
      <c r="D8" s="37" t="inlineStr">
        <is>
          <t>Origen generación</t>
        </is>
      </c>
      <c r="E8" s="38" t="n">
        <v>-31.55</v>
      </c>
      <c r="F8" s="38" t="n">
        <v>-60.67</v>
      </c>
      <c r="G8" s="37" t="inlineStr">
        <is>
          <t>FRS1</t>
        </is>
      </c>
      <c r="H8" s="37" t="inlineStr">
        <is>
          <t>Colonia San José</t>
        </is>
      </c>
      <c r="I8" s="37" t="inlineStr">
        <is>
          <t>Futuro RS</t>
        </is>
      </c>
      <c r="J8" s="38" t="n">
        <v>-31.59</v>
      </c>
      <c r="K8" s="38" t="n">
        <v>-60.87</v>
      </c>
      <c r="L8" s="39" t="n">
        <v>19.46</v>
      </c>
      <c r="M8" s="39" t="n">
        <v>1.25</v>
      </c>
      <c r="N8" s="39">
        <f>IF(O8&lt;&gt;"",O8,L8*M8)</f>
        <v/>
      </c>
      <c r="O8" s="39" t="n"/>
      <c r="P8" s="37" t="inlineStr">
        <is>
          <t>Coordenada referencial/centroide operativo a ajustar</t>
        </is>
      </c>
    </row>
    <row r="9" ht="34" customHeight="1">
      <c r="A9" s="37" t="inlineStr">
        <is>
          <t>Origen → Futuro RS</t>
        </is>
      </c>
      <c r="B9" s="37" t="inlineStr">
        <is>
          <t>ORG3</t>
        </is>
      </c>
      <c r="C9" s="37" t="inlineStr">
        <is>
          <t>OA Metrop</t>
        </is>
      </c>
      <c r="D9" s="37" t="inlineStr">
        <is>
          <t>Origen generación</t>
        </is>
      </c>
      <c r="E9" s="38" t="n">
        <v>-31.55</v>
      </c>
      <c r="F9" s="38" t="n">
        <v>-60.67</v>
      </c>
      <c r="G9" s="37" t="inlineStr">
        <is>
          <t>FRS2</t>
        </is>
      </c>
      <c r="H9" s="37" t="inlineStr">
        <is>
          <t>Empalme San Carlos</t>
        </is>
      </c>
      <c r="I9" s="37" t="inlineStr">
        <is>
          <t>Futuro RS</t>
        </is>
      </c>
      <c r="J9" s="38" t="n">
        <v>-31.54</v>
      </c>
      <c r="K9" s="38" t="n">
        <v>-60.81</v>
      </c>
      <c r="L9" s="39" t="n">
        <v>13.31</v>
      </c>
      <c r="M9" s="39" t="n">
        <v>1.25</v>
      </c>
      <c r="N9" s="39">
        <f>IF(O9&lt;&gt;"",O9,L9*M9)</f>
        <v/>
      </c>
      <c r="O9" s="39" t="n"/>
      <c r="P9" s="37" t="inlineStr">
        <is>
          <t>Coordenada referencial/centroide operativo a ajustar</t>
        </is>
      </c>
    </row>
    <row r="10" ht="34" customHeight="1">
      <c r="A10" s="37" t="inlineStr">
        <is>
          <t>Origen → Futuro RS</t>
        </is>
      </c>
      <c r="B10" s="37" t="inlineStr">
        <is>
          <t>ORG3</t>
        </is>
      </c>
      <c r="C10" s="37" t="inlineStr">
        <is>
          <t>OA Metrop</t>
        </is>
      </c>
      <c r="D10" s="37" t="inlineStr">
        <is>
          <t>Origen generación</t>
        </is>
      </c>
      <c r="E10" s="38" t="n">
        <v>-31.55</v>
      </c>
      <c r="F10" s="38" t="n">
        <v>-60.67</v>
      </c>
      <c r="G10" s="37" t="inlineStr">
        <is>
          <t>FRS3</t>
        </is>
      </c>
      <c r="H10" s="37" t="inlineStr">
        <is>
          <t>Sauce Viejo</t>
        </is>
      </c>
      <c r="I10" s="37" t="inlineStr">
        <is>
          <t>Futuro RS</t>
        </is>
      </c>
      <c r="J10" s="38" t="n">
        <v>-31.76</v>
      </c>
      <c r="K10" s="38" t="n">
        <v>-60.83</v>
      </c>
      <c r="L10" s="39" t="n">
        <v>27.83</v>
      </c>
      <c r="M10" s="39" t="n">
        <v>1.25</v>
      </c>
      <c r="N10" s="39">
        <f>IF(O10&lt;&gt;"",O10,L10*M10)</f>
        <v/>
      </c>
      <c r="O10" s="39" t="n"/>
      <c r="P10" s="37" t="inlineStr">
        <is>
          <t>Coordenada referencial/centroide operativo a ajustar</t>
        </is>
      </c>
    </row>
    <row r="11" ht="17" customHeight="1">
      <c r="A11" s="37" t="inlineStr">
        <is>
          <t>Origen → ET</t>
        </is>
      </c>
      <c r="B11" s="37" t="inlineStr">
        <is>
          <t>ORG1</t>
        </is>
      </c>
      <c r="C11" s="37" t="inlineStr">
        <is>
          <t>Santa Fe</t>
        </is>
      </c>
      <c r="D11" s="37" t="inlineStr">
        <is>
          <t>Origen generación</t>
        </is>
      </c>
      <c r="E11" s="38" t="n">
        <v>-31.6333</v>
      </c>
      <c r="F11" s="38" t="n">
        <v>-60.7</v>
      </c>
      <c r="G11" s="37" t="inlineStr">
        <is>
          <t>ET1</t>
        </is>
      </c>
      <c r="H11" s="37" t="inlineStr">
        <is>
          <t>Santa Fe</t>
        </is>
      </c>
      <c r="I11" s="37" t="inlineStr">
        <is>
          <t>ET</t>
        </is>
      </c>
      <c r="J11" s="38" t="n">
        <v>-31.59</v>
      </c>
      <c r="K11" s="38" t="n">
        <v>-60.75</v>
      </c>
      <c r="L11" s="39" t="n">
        <v>6.75</v>
      </c>
      <c r="M11" s="39" t="n">
        <v>1.25</v>
      </c>
      <c r="N11" s="39" t="n">
        <v>8.4375</v>
      </c>
      <c r="O11" s="39" t="n"/>
      <c r="P11" s="37" t="inlineStr">
        <is>
          <t>Coordenada ET actualizada 16/06/2026; distancia lineal recalculada</t>
        </is>
      </c>
    </row>
    <row r="12" ht="17" customHeight="1">
      <c r="A12" s="37" t="inlineStr">
        <is>
          <t>Origen → ET</t>
        </is>
      </c>
      <c r="B12" s="37" t="inlineStr">
        <is>
          <t>ORG1</t>
        </is>
      </c>
      <c r="C12" s="37" t="inlineStr">
        <is>
          <t>Santa Fe</t>
        </is>
      </c>
      <c r="D12" s="37" t="inlineStr">
        <is>
          <t>Origen generación</t>
        </is>
      </c>
      <c r="E12" s="38" t="n">
        <v>-31.6333</v>
      </c>
      <c r="F12" s="38" t="n">
        <v>-60.7</v>
      </c>
      <c r="G12" s="37" t="inlineStr">
        <is>
          <t>ET2</t>
        </is>
      </c>
      <c r="H12" s="37" t="inlineStr">
        <is>
          <t>Santo Tomé</t>
        </is>
      </c>
      <c r="I12" s="37" t="inlineStr">
        <is>
          <t>ET</t>
        </is>
      </c>
      <c r="J12" s="38" t="n">
        <v>-31.66</v>
      </c>
      <c r="K12" s="38" t="n">
        <v>-60.79</v>
      </c>
      <c r="L12" s="39" t="n">
        <v>9.02</v>
      </c>
      <c r="M12" s="39" t="n">
        <v>1.25</v>
      </c>
      <c r="N12" s="39" t="n">
        <v>11.275</v>
      </c>
      <c r="O12" s="39" t="n"/>
      <c r="P12" s="37" t="inlineStr">
        <is>
          <t>Coordenada ET actualizada 16/06/2026; distancia lineal recalculada</t>
        </is>
      </c>
    </row>
    <row r="13" ht="17" customHeight="1">
      <c r="A13" s="37" t="inlineStr">
        <is>
          <t>Origen → ET</t>
        </is>
      </c>
      <c r="B13" s="37" t="inlineStr">
        <is>
          <t>ORG1</t>
        </is>
      </c>
      <c r="C13" s="37" t="inlineStr">
        <is>
          <t>Santa Fe</t>
        </is>
      </c>
      <c r="D13" s="37" t="inlineStr">
        <is>
          <t>Origen generación</t>
        </is>
      </c>
      <c r="E13" s="38" t="n">
        <v>-31.6333</v>
      </c>
      <c r="F13" s="38" t="n">
        <v>-60.7</v>
      </c>
      <c r="G13" s="37" t="inlineStr">
        <is>
          <t>ET3</t>
        </is>
      </c>
      <c r="H13" s="37" t="inlineStr">
        <is>
          <t>Recreo</t>
        </is>
      </c>
      <c r="I13" s="37" t="inlineStr">
        <is>
          <t>ET</t>
        </is>
      </c>
      <c r="J13" s="38" t="n">
        <v>-31.48</v>
      </c>
      <c r="K13" s="38" t="n">
        <v>-60.75</v>
      </c>
      <c r="L13" s="39" t="n">
        <v>17.69</v>
      </c>
      <c r="M13" s="39" t="n">
        <v>1.25</v>
      </c>
      <c r="N13" s="39" t="n">
        <v>22.1125</v>
      </c>
      <c r="O13" s="39" t="n"/>
      <c r="P13" s="37" t="inlineStr">
        <is>
          <t>Coordenada ET actualizada 16/06/2026; distancia lineal recalculada</t>
        </is>
      </c>
    </row>
    <row r="14" ht="17" customHeight="1">
      <c r="A14" s="37" t="inlineStr">
        <is>
          <t>Origen → ET</t>
        </is>
      </c>
      <c r="B14" s="37" t="inlineStr">
        <is>
          <t>ORG1</t>
        </is>
      </c>
      <c r="C14" s="37" t="inlineStr">
        <is>
          <t>Santa Fe</t>
        </is>
      </c>
      <c r="D14" s="37" t="inlineStr">
        <is>
          <t>Origen generación</t>
        </is>
      </c>
      <c r="E14" s="38" t="n">
        <v>-31.6333</v>
      </c>
      <c r="F14" s="38" t="n">
        <v>-60.7</v>
      </c>
      <c r="G14" s="37" t="inlineStr">
        <is>
          <t>ET4</t>
        </is>
      </c>
      <c r="H14" s="37" t="inlineStr">
        <is>
          <t>Rincón</t>
        </is>
      </c>
      <c r="I14" s="37" t="inlineStr">
        <is>
          <t>ET</t>
        </is>
      </c>
      <c r="J14" s="38" t="n">
        <v>-31.63</v>
      </c>
      <c r="K14" s="38" t="n">
        <v>-60.62</v>
      </c>
      <c r="L14" s="39" t="n">
        <v>7.58</v>
      </c>
      <c r="M14" s="39" t="n">
        <v>1.25</v>
      </c>
      <c r="N14" s="39" t="n">
        <v>9.475</v>
      </c>
      <c r="O14" s="39" t="n"/>
      <c r="P14" s="37" t="inlineStr">
        <is>
          <t>Coordenada ET actualizada 16/06/2026; distancia lineal recalculada</t>
        </is>
      </c>
    </row>
    <row r="15" ht="17" customHeight="1">
      <c r="A15" s="37" t="inlineStr">
        <is>
          <t>Origen → ET</t>
        </is>
      </c>
      <c r="B15" s="37" t="inlineStr">
        <is>
          <t>ORG2</t>
        </is>
      </c>
      <c r="C15" s="37" t="inlineStr">
        <is>
          <t>Santo Tomé</t>
        </is>
      </c>
      <c r="D15" s="37" t="inlineStr">
        <is>
          <t>Origen generación</t>
        </is>
      </c>
      <c r="E15" s="38" t="n">
        <v>-31.66</v>
      </c>
      <c r="F15" s="38" t="n">
        <v>-60.76</v>
      </c>
      <c r="G15" s="37" t="inlineStr">
        <is>
          <t>ET1</t>
        </is>
      </c>
      <c r="H15" s="37" t="inlineStr">
        <is>
          <t>Santa Fe</t>
        </is>
      </c>
      <c r="I15" s="37" t="inlineStr">
        <is>
          <t>ET</t>
        </is>
      </c>
      <c r="J15" s="38" t="n">
        <v>-31.59</v>
      </c>
      <c r="K15" s="38" t="n">
        <v>-60.75</v>
      </c>
      <c r="L15" s="39" t="n">
        <v>7.84</v>
      </c>
      <c r="M15" s="39" t="n">
        <v>1.25</v>
      </c>
      <c r="N15" s="39" t="n">
        <v>9.800000000000001</v>
      </c>
      <c r="O15" s="39" t="n"/>
      <c r="P15" s="37" t="inlineStr">
        <is>
          <t>Coordenada ET actualizada 16/06/2026; distancia lineal recalculada</t>
        </is>
      </c>
    </row>
    <row r="16" ht="17" customHeight="1">
      <c r="A16" s="37" t="inlineStr">
        <is>
          <t>Origen → ET</t>
        </is>
      </c>
      <c r="B16" s="37" t="inlineStr">
        <is>
          <t>ORG2</t>
        </is>
      </c>
      <c r="C16" s="37" t="inlineStr">
        <is>
          <t>Santo Tomé</t>
        </is>
      </c>
      <c r="D16" s="37" t="inlineStr">
        <is>
          <t>Origen generación</t>
        </is>
      </c>
      <c r="E16" s="38" t="n">
        <v>-31.66</v>
      </c>
      <c r="F16" s="38" t="n">
        <v>-60.76</v>
      </c>
      <c r="G16" s="37" t="inlineStr">
        <is>
          <t>ET2</t>
        </is>
      </c>
      <c r="H16" s="37" t="inlineStr">
        <is>
          <t>Santo Tomé</t>
        </is>
      </c>
      <c r="I16" s="37" t="inlineStr">
        <is>
          <t>ET</t>
        </is>
      </c>
      <c r="J16" s="38" t="n">
        <v>-31.66</v>
      </c>
      <c r="K16" s="38" t="n">
        <v>-60.79</v>
      </c>
      <c r="L16" s="39" t="n">
        <v>2.84</v>
      </c>
      <c r="M16" s="39" t="n">
        <v>1.25</v>
      </c>
      <c r="N16" s="39" t="n">
        <v>3.55</v>
      </c>
      <c r="O16" s="39" t="n"/>
      <c r="P16" s="37" t="inlineStr">
        <is>
          <t>Coordenada ET actualizada 16/06/2026; distancia lineal recalculada</t>
        </is>
      </c>
    </row>
    <row r="17" ht="17" customHeight="1">
      <c r="A17" s="37" t="inlineStr">
        <is>
          <t>Origen → ET</t>
        </is>
      </c>
      <c r="B17" s="37" t="inlineStr">
        <is>
          <t>ORG2</t>
        </is>
      </c>
      <c r="C17" s="37" t="inlineStr">
        <is>
          <t>Santo Tomé</t>
        </is>
      </c>
      <c r="D17" s="37" t="inlineStr">
        <is>
          <t>Origen generación</t>
        </is>
      </c>
      <c r="E17" s="38" t="n">
        <v>-31.66</v>
      </c>
      <c r="F17" s="38" t="n">
        <v>-60.76</v>
      </c>
      <c r="G17" s="37" t="inlineStr">
        <is>
          <t>ET3</t>
        </is>
      </c>
      <c r="H17" s="37" t="inlineStr">
        <is>
          <t>Recreo</t>
        </is>
      </c>
      <c r="I17" s="37" t="inlineStr">
        <is>
          <t>ET</t>
        </is>
      </c>
      <c r="J17" s="38" t="n">
        <v>-31.48</v>
      </c>
      <c r="K17" s="38" t="n">
        <v>-60.75</v>
      </c>
      <c r="L17" s="39" t="n">
        <v>20.04</v>
      </c>
      <c r="M17" s="39" t="n">
        <v>1.25</v>
      </c>
      <c r="N17" s="39" t="n">
        <v>25.05</v>
      </c>
      <c r="O17" s="39" t="n"/>
      <c r="P17" s="37" t="inlineStr">
        <is>
          <t>Coordenada ET actualizada 16/06/2026; distancia lineal recalculada</t>
        </is>
      </c>
    </row>
    <row r="18" ht="17" customHeight="1">
      <c r="A18" s="37" t="inlineStr">
        <is>
          <t>Origen → ET</t>
        </is>
      </c>
      <c r="B18" s="37" t="inlineStr">
        <is>
          <t>ORG2</t>
        </is>
      </c>
      <c r="C18" s="37" t="inlineStr">
        <is>
          <t>Santo Tomé</t>
        </is>
      </c>
      <c r="D18" s="37" t="inlineStr">
        <is>
          <t>Origen generación</t>
        </is>
      </c>
      <c r="E18" s="38" t="n">
        <v>-31.66</v>
      </c>
      <c r="F18" s="38" t="n">
        <v>-60.76</v>
      </c>
      <c r="G18" s="37" t="inlineStr">
        <is>
          <t>ET4</t>
        </is>
      </c>
      <c r="H18" s="37" t="inlineStr">
        <is>
          <t>Rincón</t>
        </is>
      </c>
      <c r="I18" s="37" t="inlineStr">
        <is>
          <t>ET</t>
        </is>
      </c>
      <c r="J18" s="38" t="n">
        <v>-31.63</v>
      </c>
      <c r="K18" s="38" t="n">
        <v>-60.62</v>
      </c>
      <c r="L18" s="39" t="n">
        <v>13.67</v>
      </c>
      <c r="M18" s="39" t="n">
        <v>1.25</v>
      </c>
      <c r="N18" s="39" t="n">
        <v>17.0875</v>
      </c>
      <c r="O18" s="39" t="n"/>
      <c r="P18" s="37" t="inlineStr">
        <is>
          <t>Coordenada ET actualizada 16/06/2026; distancia lineal recalculada</t>
        </is>
      </c>
    </row>
    <row r="19" ht="34" customHeight="1">
      <c r="A19" s="37" t="inlineStr">
        <is>
          <t>Origen → ET</t>
        </is>
      </c>
      <c r="B19" s="37" t="inlineStr">
        <is>
          <t>ORG3</t>
        </is>
      </c>
      <c r="C19" s="37" t="inlineStr">
        <is>
          <t>OA Metrop</t>
        </is>
      </c>
      <c r="D19" s="37" t="inlineStr">
        <is>
          <t>Origen generación</t>
        </is>
      </c>
      <c r="E19" s="38" t="n">
        <v>-31.55</v>
      </c>
      <c r="F19" s="38" t="n">
        <v>-60.67</v>
      </c>
      <c r="G19" s="37" t="inlineStr">
        <is>
          <t>ET1</t>
        </is>
      </c>
      <c r="H19" s="37" t="inlineStr">
        <is>
          <t>Santa Fe</t>
        </is>
      </c>
      <c r="I19" s="37" t="inlineStr">
        <is>
          <t>ET</t>
        </is>
      </c>
      <c r="J19" s="38" t="n">
        <v>-31.59</v>
      </c>
      <c r="K19" s="38" t="n">
        <v>-60.75</v>
      </c>
      <c r="L19" s="39" t="n">
        <v>8.789999999999999</v>
      </c>
      <c r="M19" s="39" t="n">
        <v>1.25</v>
      </c>
      <c r="N19" s="39" t="n">
        <v>10.9875</v>
      </c>
      <c r="O19" s="39" t="n"/>
      <c r="P19" s="37" t="inlineStr">
        <is>
          <t>Coordenada ET actualizada 16/06/2026; distancia lineal recalculada</t>
        </is>
      </c>
    </row>
    <row r="20" ht="34" customHeight="1">
      <c r="A20" s="37" t="inlineStr">
        <is>
          <t>Origen → ET</t>
        </is>
      </c>
      <c r="B20" s="37" t="inlineStr">
        <is>
          <t>ORG3</t>
        </is>
      </c>
      <c r="C20" s="37" t="inlineStr">
        <is>
          <t>OA Metrop</t>
        </is>
      </c>
      <c r="D20" s="37" t="inlineStr">
        <is>
          <t>Origen generación</t>
        </is>
      </c>
      <c r="E20" s="38" t="n">
        <v>-31.55</v>
      </c>
      <c r="F20" s="38" t="n">
        <v>-60.67</v>
      </c>
      <c r="G20" s="37" t="inlineStr">
        <is>
          <t>ET2</t>
        </is>
      </c>
      <c r="H20" s="37" t="inlineStr">
        <is>
          <t>Santo Tomé</t>
        </is>
      </c>
      <c r="I20" s="37" t="inlineStr">
        <is>
          <t>ET</t>
        </is>
      </c>
      <c r="J20" s="38" t="n">
        <v>-31.66</v>
      </c>
      <c r="K20" s="38" t="n">
        <v>-60.79</v>
      </c>
      <c r="L20" s="39" t="n">
        <v>16.7</v>
      </c>
      <c r="M20" s="39" t="n">
        <v>1.25</v>
      </c>
      <c r="N20" s="39" t="n">
        <v>20.875</v>
      </c>
      <c r="O20" s="39" t="n"/>
      <c r="P20" s="37" t="inlineStr">
        <is>
          <t>Coordenada ET actualizada 16/06/2026; distancia lineal recalculada</t>
        </is>
      </c>
    </row>
    <row r="21" ht="34" customHeight="1">
      <c r="A21" s="37" t="inlineStr">
        <is>
          <t>Origen → ET</t>
        </is>
      </c>
      <c r="B21" s="37" t="inlineStr">
        <is>
          <t>ORG3</t>
        </is>
      </c>
      <c r="C21" s="37" t="inlineStr">
        <is>
          <t>OA Metrop</t>
        </is>
      </c>
      <c r="D21" s="37" t="inlineStr">
        <is>
          <t>Origen generación</t>
        </is>
      </c>
      <c r="E21" s="38" t="n">
        <v>-31.55</v>
      </c>
      <c r="F21" s="38" t="n">
        <v>-60.67</v>
      </c>
      <c r="G21" s="37" t="inlineStr">
        <is>
          <t>ET3</t>
        </is>
      </c>
      <c r="H21" s="37" t="inlineStr">
        <is>
          <t>Recreo</t>
        </is>
      </c>
      <c r="I21" s="37" t="inlineStr">
        <is>
          <t>ET</t>
        </is>
      </c>
      <c r="J21" s="38" t="n">
        <v>-31.48</v>
      </c>
      <c r="K21" s="38" t="n">
        <v>-60.75</v>
      </c>
      <c r="L21" s="39" t="n">
        <v>10.87</v>
      </c>
      <c r="M21" s="39" t="n">
        <v>1.25</v>
      </c>
      <c r="N21" s="39" t="n">
        <v>13.5875</v>
      </c>
      <c r="O21" s="39" t="n"/>
      <c r="P21" s="37" t="inlineStr">
        <is>
          <t>Coordenada ET actualizada 16/06/2026; distancia lineal recalculada</t>
        </is>
      </c>
    </row>
    <row r="22" ht="34" customHeight="1">
      <c r="A22" s="37" t="inlineStr">
        <is>
          <t>Origen → ET</t>
        </is>
      </c>
      <c r="B22" s="37" t="inlineStr">
        <is>
          <t>ORG3</t>
        </is>
      </c>
      <c r="C22" s="37" t="inlineStr">
        <is>
          <t>OA Metrop</t>
        </is>
      </c>
      <c r="D22" s="37" t="inlineStr">
        <is>
          <t>Origen generación</t>
        </is>
      </c>
      <c r="E22" s="38" t="n">
        <v>-31.55</v>
      </c>
      <c r="F22" s="38" t="n">
        <v>-60.67</v>
      </c>
      <c r="G22" s="37" t="inlineStr">
        <is>
          <t>ET4</t>
        </is>
      </c>
      <c r="H22" s="37" t="inlineStr">
        <is>
          <t>Rincón</t>
        </is>
      </c>
      <c r="I22" s="37" t="inlineStr">
        <is>
          <t>ET</t>
        </is>
      </c>
      <c r="J22" s="38" t="n">
        <v>-31.63</v>
      </c>
      <c r="K22" s="38" t="n">
        <v>-60.62</v>
      </c>
      <c r="L22" s="39" t="n">
        <v>10.08</v>
      </c>
      <c r="M22" s="39" t="n">
        <v>1.25</v>
      </c>
      <c r="N22" s="39" t="n">
        <v>12.6</v>
      </c>
      <c r="O22" s="39" t="n"/>
      <c r="P22" s="37" t="inlineStr">
        <is>
          <t>Coordenada ET actualizada 16/06/2026; distancia lineal recalculada</t>
        </is>
      </c>
    </row>
    <row r="23" ht="17" customHeight="1">
      <c r="A23" s="37" t="inlineStr">
        <is>
          <t>Origen → Planta Energía</t>
        </is>
      </c>
      <c r="B23" s="37" t="inlineStr">
        <is>
          <t>ORG1</t>
        </is>
      </c>
      <c r="C23" s="37" t="inlineStr">
        <is>
          <t>Santa Fe</t>
        </is>
      </c>
      <c r="D23" s="37" t="inlineStr">
        <is>
          <t>Origen generación</t>
        </is>
      </c>
      <c r="E23" s="38" t="n">
        <v>-31.6333</v>
      </c>
      <c r="F23" s="38" t="n">
        <v>-60.7</v>
      </c>
      <c r="G23" s="37" t="inlineStr">
        <is>
          <t>PE1</t>
        </is>
      </c>
      <c r="H23" s="37" t="inlineStr">
        <is>
          <t>Planta Energía Actual RS</t>
        </is>
      </c>
      <c r="I23" s="37" t="inlineStr">
        <is>
          <t>Planta</t>
        </is>
      </c>
      <c r="J23" s="38" t="n">
        <v>-31.6</v>
      </c>
      <c r="K23" s="38" t="n">
        <v>-60.75</v>
      </c>
      <c r="L23" s="39" t="n">
        <v>6.01</v>
      </c>
      <c r="M23" s="39" t="n">
        <v>1.25</v>
      </c>
      <c r="N23" s="39">
        <f>IF(O23&lt;&gt;"",O23,L23*M23)</f>
        <v/>
      </c>
      <c r="O23" s="39" t="n"/>
      <c r="P23" s="37" t="inlineStr">
        <is>
          <t>Coordenada referencial centro urbano</t>
        </is>
      </c>
    </row>
    <row r="24" ht="17" customHeight="1">
      <c r="A24" s="37" t="inlineStr">
        <is>
          <t>Origen → Planta Energía</t>
        </is>
      </c>
      <c r="B24" s="37" t="inlineStr">
        <is>
          <t>ORG2</t>
        </is>
      </c>
      <c r="C24" s="37" t="inlineStr">
        <is>
          <t>Santo Tomé</t>
        </is>
      </c>
      <c r="D24" s="37" t="inlineStr">
        <is>
          <t>Origen generación</t>
        </is>
      </c>
      <c r="E24" s="38" t="n">
        <v>-31.66</v>
      </c>
      <c r="F24" s="38" t="n">
        <v>-60.76</v>
      </c>
      <c r="G24" s="37" t="inlineStr">
        <is>
          <t>PE1</t>
        </is>
      </c>
      <c r="H24" s="37" t="inlineStr">
        <is>
          <t>Planta Energía Actual RS</t>
        </is>
      </c>
      <c r="I24" s="37" t="inlineStr">
        <is>
          <t>Planta</t>
        </is>
      </c>
      <c r="J24" s="38" t="n">
        <v>-31.6</v>
      </c>
      <c r="K24" s="38" t="n">
        <v>-60.75</v>
      </c>
      <c r="L24" s="39" t="n">
        <v>6.74</v>
      </c>
      <c r="M24" s="39" t="n">
        <v>1.25</v>
      </c>
      <c r="N24" s="39">
        <f>IF(O24&lt;&gt;"",O24,L24*M24)</f>
        <v/>
      </c>
      <c r="O24" s="39" t="n"/>
      <c r="P24" s="37" t="inlineStr">
        <is>
          <t>Coordenada referencial centro urbano</t>
        </is>
      </c>
    </row>
    <row r="25" ht="34" customHeight="1">
      <c r="A25" s="37" t="inlineStr">
        <is>
          <t>Origen → Planta Energía</t>
        </is>
      </c>
      <c r="B25" s="37" t="inlineStr">
        <is>
          <t>ORG3</t>
        </is>
      </c>
      <c r="C25" s="37" t="inlineStr">
        <is>
          <t>OA Metrop</t>
        </is>
      </c>
      <c r="D25" s="37" t="inlineStr">
        <is>
          <t>Origen generación</t>
        </is>
      </c>
      <c r="E25" s="38" t="n">
        <v>-31.55</v>
      </c>
      <c r="F25" s="38" t="n">
        <v>-60.67</v>
      </c>
      <c r="G25" s="37" t="inlineStr">
        <is>
          <t>PE1</t>
        </is>
      </c>
      <c r="H25" s="37" t="inlineStr">
        <is>
          <t>Planta Energía Actual RS</t>
        </is>
      </c>
      <c r="I25" s="37" t="inlineStr">
        <is>
          <t>Planta</t>
        </is>
      </c>
      <c r="J25" s="38" t="n">
        <v>-31.6</v>
      </c>
      <c r="K25" s="38" t="n">
        <v>-60.75</v>
      </c>
      <c r="L25" s="39" t="n">
        <v>9.4</v>
      </c>
      <c r="M25" s="39" t="n">
        <v>1.25</v>
      </c>
      <c r="N25" s="39">
        <f>IF(O25&lt;&gt;"",O25,L25*M25)</f>
        <v/>
      </c>
      <c r="O25" s="39" t="n"/>
      <c r="P25" s="37" t="inlineStr">
        <is>
          <t>Coordenada referencial/centroide operativo a ajustar</t>
        </is>
      </c>
    </row>
    <row r="26" ht="34" customHeight="1">
      <c r="A26" s="37" t="inlineStr">
        <is>
          <t>ET → Futuro RS</t>
        </is>
      </c>
      <c r="B26" s="37" t="inlineStr">
        <is>
          <t>ET1</t>
        </is>
      </c>
      <c r="C26" s="37" t="inlineStr">
        <is>
          <t>Santa Fe</t>
        </is>
      </c>
      <c r="D26" s="37" t="inlineStr">
        <is>
          <t>ET</t>
        </is>
      </c>
      <c r="E26" s="38" t="n">
        <v>-31.59</v>
      </c>
      <c r="F26" s="38" t="n">
        <v>-60.75</v>
      </c>
      <c r="G26" s="37" t="inlineStr">
        <is>
          <t>FRS1</t>
        </is>
      </c>
      <c r="H26" s="37" t="inlineStr">
        <is>
          <t>Colonia San José</t>
        </is>
      </c>
      <c r="I26" s="37" t="inlineStr">
        <is>
          <t>Futuro RS</t>
        </is>
      </c>
      <c r="J26" s="38" t="n">
        <v>-31.59</v>
      </c>
      <c r="K26" s="38" t="n">
        <v>-60.87</v>
      </c>
      <c r="L26" s="39" t="n">
        <v>11.37</v>
      </c>
      <c r="M26" s="39" t="n">
        <v>1.25</v>
      </c>
      <c r="N26" s="39" t="n">
        <v>14.2125</v>
      </c>
      <c r="O26" s="39" t="n"/>
      <c r="P26" s="37" t="inlineStr">
        <is>
          <t>Coordenada ET actualizada 16/06/2026; distancia lineal recalculada</t>
        </is>
      </c>
    </row>
    <row r="27" ht="34" customHeight="1">
      <c r="A27" s="37" t="inlineStr">
        <is>
          <t>ET → Futuro RS</t>
        </is>
      </c>
      <c r="B27" s="37" t="inlineStr">
        <is>
          <t>ET1</t>
        </is>
      </c>
      <c r="C27" s="37" t="inlineStr">
        <is>
          <t>Santa Fe</t>
        </is>
      </c>
      <c r="D27" s="37" t="inlineStr">
        <is>
          <t>ET</t>
        </is>
      </c>
      <c r="E27" s="38" t="n">
        <v>-31.59</v>
      </c>
      <c r="F27" s="38" t="n">
        <v>-60.75</v>
      </c>
      <c r="G27" s="37" t="inlineStr">
        <is>
          <t>FRS2</t>
        </is>
      </c>
      <c r="H27" s="37" t="inlineStr">
        <is>
          <t>Empalme San Carlos</t>
        </is>
      </c>
      <c r="I27" s="37" t="inlineStr">
        <is>
          <t>Futuro RS</t>
        </is>
      </c>
      <c r="J27" s="38" t="n">
        <v>-31.54</v>
      </c>
      <c r="K27" s="38" t="n">
        <v>-60.81</v>
      </c>
      <c r="L27" s="39" t="n">
        <v>7.95</v>
      </c>
      <c r="M27" s="39" t="n">
        <v>1.25</v>
      </c>
      <c r="N27" s="39" t="n">
        <v>9.9375</v>
      </c>
      <c r="O27" s="39" t="n"/>
      <c r="P27" s="37" t="inlineStr">
        <is>
          <t>Coordenada ET actualizada 16/06/2026; distancia lineal recalculada</t>
        </is>
      </c>
    </row>
    <row r="28" ht="34" customHeight="1">
      <c r="A28" s="37" t="inlineStr">
        <is>
          <t>ET → Futuro RS</t>
        </is>
      </c>
      <c r="B28" s="37" t="inlineStr">
        <is>
          <t>ET1</t>
        </is>
      </c>
      <c r="C28" s="37" t="inlineStr">
        <is>
          <t>Santa Fe</t>
        </is>
      </c>
      <c r="D28" s="37" t="inlineStr">
        <is>
          <t>ET</t>
        </is>
      </c>
      <c r="E28" s="38" t="n">
        <v>-31.59</v>
      </c>
      <c r="F28" s="38" t="n">
        <v>-60.75</v>
      </c>
      <c r="G28" s="37" t="inlineStr">
        <is>
          <t>FRS3</t>
        </is>
      </c>
      <c r="H28" s="37" t="inlineStr">
        <is>
          <t>Sauce Viejo</t>
        </is>
      </c>
      <c r="I28" s="37" t="inlineStr">
        <is>
          <t>Futuro RS</t>
        </is>
      </c>
      <c r="J28" s="38" t="n">
        <v>-31.76</v>
      </c>
      <c r="K28" s="38" t="n">
        <v>-60.83</v>
      </c>
      <c r="L28" s="39" t="n">
        <v>20.36</v>
      </c>
      <c r="M28" s="39" t="n">
        <v>1.25</v>
      </c>
      <c r="N28" s="39" t="n">
        <v>25.45</v>
      </c>
      <c r="O28" s="39" t="n"/>
      <c r="P28" s="37" t="inlineStr">
        <is>
          <t>Coordenada ET actualizada 16/06/2026; distancia lineal recalculada</t>
        </is>
      </c>
    </row>
    <row r="29" ht="34" customHeight="1">
      <c r="A29" s="37" t="inlineStr">
        <is>
          <t>ET → Futuro RS</t>
        </is>
      </c>
      <c r="B29" s="37" t="inlineStr">
        <is>
          <t>ET2</t>
        </is>
      </c>
      <c r="C29" s="37" t="inlineStr">
        <is>
          <t>Santo Tomé</t>
        </is>
      </c>
      <c r="D29" s="37" t="inlineStr">
        <is>
          <t>ET</t>
        </is>
      </c>
      <c r="E29" s="38" t="n">
        <v>-31.66</v>
      </c>
      <c r="F29" s="38" t="n">
        <v>-60.79</v>
      </c>
      <c r="G29" s="37" t="inlineStr">
        <is>
          <t>FRS1</t>
        </is>
      </c>
      <c r="H29" s="37" t="inlineStr">
        <is>
          <t>Colonia San José</t>
        </is>
      </c>
      <c r="I29" s="37" t="inlineStr">
        <is>
          <t>Futuro RS</t>
        </is>
      </c>
      <c r="J29" s="38" t="n">
        <v>-31.59</v>
      </c>
      <c r="K29" s="38" t="n">
        <v>-60.87</v>
      </c>
      <c r="L29" s="39" t="n">
        <v>10.86</v>
      </c>
      <c r="M29" s="39" t="n">
        <v>1.25</v>
      </c>
      <c r="N29" s="39" t="n">
        <v>13.575</v>
      </c>
      <c r="O29" s="39" t="n"/>
      <c r="P29" s="37" t="inlineStr">
        <is>
          <t>Coordenada ET actualizada 16/06/2026; distancia lineal recalculada</t>
        </is>
      </c>
    </row>
    <row r="30" ht="34" customHeight="1">
      <c r="A30" s="37" t="inlineStr">
        <is>
          <t>ET → Futuro RS</t>
        </is>
      </c>
      <c r="B30" s="37" t="inlineStr">
        <is>
          <t>ET2</t>
        </is>
      </c>
      <c r="C30" s="37" t="inlineStr">
        <is>
          <t>Santo Tomé</t>
        </is>
      </c>
      <c r="D30" s="37" t="inlineStr">
        <is>
          <t>ET</t>
        </is>
      </c>
      <c r="E30" s="38" t="n">
        <v>-31.66</v>
      </c>
      <c r="F30" s="38" t="n">
        <v>-60.79</v>
      </c>
      <c r="G30" s="37" t="inlineStr">
        <is>
          <t>FRS2</t>
        </is>
      </c>
      <c r="H30" s="37" t="inlineStr">
        <is>
          <t>Empalme San Carlos</t>
        </is>
      </c>
      <c r="I30" s="37" t="inlineStr">
        <is>
          <t>Futuro RS</t>
        </is>
      </c>
      <c r="J30" s="38" t="n">
        <v>-31.54</v>
      </c>
      <c r="K30" s="38" t="n">
        <v>-60.81</v>
      </c>
      <c r="L30" s="39" t="n">
        <v>13.48</v>
      </c>
      <c r="M30" s="39" t="n">
        <v>1.25</v>
      </c>
      <c r="N30" s="39" t="n">
        <v>16.85</v>
      </c>
      <c r="O30" s="39" t="n"/>
      <c r="P30" s="37" t="inlineStr">
        <is>
          <t>Coordenada ET actualizada 16/06/2026; distancia lineal recalculada</t>
        </is>
      </c>
    </row>
    <row r="31" ht="34" customHeight="1">
      <c r="A31" s="37" t="inlineStr">
        <is>
          <t>ET → Futuro RS</t>
        </is>
      </c>
      <c r="B31" s="37" t="inlineStr">
        <is>
          <t>ET2</t>
        </is>
      </c>
      <c r="C31" s="37" t="inlineStr">
        <is>
          <t>Santo Tomé</t>
        </is>
      </c>
      <c r="D31" s="37" t="inlineStr">
        <is>
          <t>ET</t>
        </is>
      </c>
      <c r="E31" s="38" t="n">
        <v>-31.66</v>
      </c>
      <c r="F31" s="38" t="n">
        <v>-60.79</v>
      </c>
      <c r="G31" s="37" t="inlineStr">
        <is>
          <t>FRS3</t>
        </is>
      </c>
      <c r="H31" s="37" t="inlineStr">
        <is>
          <t>Sauce Viejo</t>
        </is>
      </c>
      <c r="I31" s="37" t="inlineStr">
        <is>
          <t>Futuro RS</t>
        </is>
      </c>
      <c r="J31" s="38" t="n">
        <v>-31.76</v>
      </c>
      <c r="K31" s="38" t="n">
        <v>-60.83</v>
      </c>
      <c r="L31" s="39" t="n">
        <v>11.75</v>
      </c>
      <c r="M31" s="39" t="n">
        <v>1.25</v>
      </c>
      <c r="N31" s="39" t="n">
        <v>14.6875</v>
      </c>
      <c r="O31" s="39" t="n"/>
      <c r="P31" s="37" t="inlineStr">
        <is>
          <t>Coordenada ET actualizada 16/06/2026; distancia lineal recalculada</t>
        </is>
      </c>
    </row>
    <row r="32" ht="34" customHeight="1">
      <c r="A32" s="37" t="inlineStr">
        <is>
          <t>ET → Futuro RS</t>
        </is>
      </c>
      <c r="B32" s="37" t="inlineStr">
        <is>
          <t>ET3</t>
        </is>
      </c>
      <c r="C32" s="37" t="inlineStr">
        <is>
          <t>Recreo</t>
        </is>
      </c>
      <c r="D32" s="37" t="inlineStr">
        <is>
          <t>ET</t>
        </is>
      </c>
      <c r="E32" s="38" t="n">
        <v>-31.48</v>
      </c>
      <c r="F32" s="38" t="n">
        <v>-60.75</v>
      </c>
      <c r="G32" s="37" t="inlineStr">
        <is>
          <t>FRS1</t>
        </is>
      </c>
      <c r="H32" s="37" t="inlineStr">
        <is>
          <t>Colonia San José</t>
        </is>
      </c>
      <c r="I32" s="37" t="inlineStr">
        <is>
          <t>Futuro RS</t>
        </is>
      </c>
      <c r="J32" s="38" t="n">
        <v>-31.59</v>
      </c>
      <c r="K32" s="38" t="n">
        <v>-60.87</v>
      </c>
      <c r="L32" s="39" t="n">
        <v>16.7</v>
      </c>
      <c r="M32" s="39" t="n">
        <v>1.25</v>
      </c>
      <c r="N32" s="39" t="n">
        <v>20.875</v>
      </c>
      <c r="O32" s="39" t="n"/>
      <c r="P32" s="37" t="inlineStr">
        <is>
          <t>Coordenada ET actualizada 16/06/2026; distancia lineal recalculada</t>
        </is>
      </c>
    </row>
    <row r="33" ht="34" customHeight="1">
      <c r="A33" s="37" t="inlineStr">
        <is>
          <t>ET → Futuro RS</t>
        </is>
      </c>
      <c r="B33" s="37" t="inlineStr">
        <is>
          <t>ET3</t>
        </is>
      </c>
      <c r="C33" s="37" t="inlineStr">
        <is>
          <t>Recreo</t>
        </is>
      </c>
      <c r="D33" s="37" t="inlineStr">
        <is>
          <t>ET</t>
        </is>
      </c>
      <c r="E33" s="38" t="n">
        <v>-31.48</v>
      </c>
      <c r="F33" s="38" t="n">
        <v>-60.75</v>
      </c>
      <c r="G33" s="37" t="inlineStr">
        <is>
          <t>FRS2</t>
        </is>
      </c>
      <c r="H33" s="37" t="inlineStr">
        <is>
          <t>Empalme San Carlos</t>
        </is>
      </c>
      <c r="I33" s="37" t="inlineStr">
        <is>
          <t>Futuro RS</t>
        </is>
      </c>
      <c r="J33" s="38" t="n">
        <v>-31.54</v>
      </c>
      <c r="K33" s="38" t="n">
        <v>-60.81</v>
      </c>
      <c r="L33" s="39" t="n">
        <v>8.77</v>
      </c>
      <c r="M33" s="39" t="n">
        <v>1.25</v>
      </c>
      <c r="N33" s="39" t="n">
        <v>10.9625</v>
      </c>
      <c r="O33" s="39" t="n"/>
      <c r="P33" s="37" t="inlineStr">
        <is>
          <t>Coordenada ET actualizada 16/06/2026; distancia lineal recalculada</t>
        </is>
      </c>
    </row>
    <row r="34" ht="34" customHeight="1">
      <c r="A34" s="37" t="inlineStr">
        <is>
          <t>ET → Futuro RS</t>
        </is>
      </c>
      <c r="B34" s="37" t="inlineStr">
        <is>
          <t>ET3</t>
        </is>
      </c>
      <c r="C34" s="37" t="inlineStr">
        <is>
          <t>Recreo</t>
        </is>
      </c>
      <c r="D34" s="37" t="inlineStr">
        <is>
          <t>ET</t>
        </is>
      </c>
      <c r="E34" s="38" t="n">
        <v>-31.48</v>
      </c>
      <c r="F34" s="38" t="n">
        <v>-60.75</v>
      </c>
      <c r="G34" s="37" t="inlineStr">
        <is>
          <t>FRS3</t>
        </is>
      </c>
      <c r="H34" s="37" t="inlineStr">
        <is>
          <t>Sauce Viejo</t>
        </is>
      </c>
      <c r="I34" s="37" t="inlineStr">
        <is>
          <t>Futuro RS</t>
        </is>
      </c>
      <c r="J34" s="38" t="n">
        <v>-31.76</v>
      </c>
      <c r="K34" s="38" t="n">
        <v>-60.83</v>
      </c>
      <c r="L34" s="39" t="n">
        <v>32.04</v>
      </c>
      <c r="M34" s="39" t="n">
        <v>1.25</v>
      </c>
      <c r="N34" s="39" t="n">
        <v>40.05</v>
      </c>
      <c r="O34" s="39" t="n"/>
      <c r="P34" s="37" t="inlineStr">
        <is>
          <t>Coordenada ET actualizada 16/06/2026; distancia lineal recalculada</t>
        </is>
      </c>
    </row>
    <row r="35" ht="34" customHeight="1">
      <c r="A35" s="37" t="inlineStr">
        <is>
          <t>ET → Futuro RS</t>
        </is>
      </c>
      <c r="B35" s="37" t="inlineStr">
        <is>
          <t>ET4</t>
        </is>
      </c>
      <c r="C35" s="37" t="inlineStr">
        <is>
          <t>Rincón</t>
        </is>
      </c>
      <c r="D35" s="37" t="inlineStr">
        <is>
          <t>ET</t>
        </is>
      </c>
      <c r="E35" s="38" t="n">
        <v>-31.63</v>
      </c>
      <c r="F35" s="38" t="n">
        <v>-60.62</v>
      </c>
      <c r="G35" s="37" t="inlineStr">
        <is>
          <t>FRS1</t>
        </is>
      </c>
      <c r="H35" s="37" t="inlineStr">
        <is>
          <t>Colonia San José</t>
        </is>
      </c>
      <c r="I35" s="37" t="inlineStr">
        <is>
          <t>Futuro RS</t>
        </is>
      </c>
      <c r="J35" s="38" t="n">
        <v>-31.59</v>
      </c>
      <c r="K35" s="38" t="n">
        <v>-60.87</v>
      </c>
      <c r="L35" s="39" t="n">
        <v>24.09</v>
      </c>
      <c r="M35" s="39" t="n">
        <v>1.25</v>
      </c>
      <c r="N35" s="39" t="n">
        <v>30.1125</v>
      </c>
      <c r="O35" s="39" t="n"/>
      <c r="P35" s="37" t="inlineStr">
        <is>
          <t>Coordenada ET actualizada 16/06/2026; distancia lineal recalculada</t>
        </is>
      </c>
    </row>
    <row r="36" ht="34" customHeight="1">
      <c r="A36" s="37" t="inlineStr">
        <is>
          <t>ET → Futuro RS</t>
        </is>
      </c>
      <c r="B36" s="37" t="inlineStr">
        <is>
          <t>ET4</t>
        </is>
      </c>
      <c r="C36" s="37" t="inlineStr">
        <is>
          <t>Rincón</t>
        </is>
      </c>
      <c r="D36" s="37" t="inlineStr">
        <is>
          <t>ET</t>
        </is>
      </c>
      <c r="E36" s="38" t="n">
        <v>-31.63</v>
      </c>
      <c r="F36" s="38" t="n">
        <v>-60.62</v>
      </c>
      <c r="G36" s="37" t="inlineStr">
        <is>
          <t>FRS2</t>
        </is>
      </c>
      <c r="H36" s="37" t="inlineStr">
        <is>
          <t>Empalme San Carlos</t>
        </is>
      </c>
      <c r="I36" s="37" t="inlineStr">
        <is>
          <t>Futuro RS</t>
        </is>
      </c>
      <c r="J36" s="38" t="n">
        <v>-31.54</v>
      </c>
      <c r="K36" s="38" t="n">
        <v>-60.81</v>
      </c>
      <c r="L36" s="39" t="n">
        <v>20.59</v>
      </c>
      <c r="M36" s="39" t="n">
        <v>1.25</v>
      </c>
      <c r="N36" s="39" t="n">
        <v>25.7375</v>
      </c>
      <c r="O36" s="39" t="n"/>
      <c r="P36" s="37" t="inlineStr">
        <is>
          <t>Coordenada ET actualizada 16/06/2026; distancia lineal recalculada</t>
        </is>
      </c>
    </row>
    <row r="37" ht="34" customHeight="1">
      <c r="A37" s="37" t="inlineStr">
        <is>
          <t>ET → Futuro RS</t>
        </is>
      </c>
      <c r="B37" s="37" t="inlineStr">
        <is>
          <t>ET4</t>
        </is>
      </c>
      <c r="C37" s="37" t="inlineStr">
        <is>
          <t>Rincón</t>
        </is>
      </c>
      <c r="D37" s="37" t="inlineStr">
        <is>
          <t>ET</t>
        </is>
      </c>
      <c r="E37" s="38" t="n">
        <v>-31.63</v>
      </c>
      <c r="F37" s="38" t="n">
        <v>-60.62</v>
      </c>
      <c r="G37" s="37" t="inlineStr">
        <is>
          <t>FRS3</t>
        </is>
      </c>
      <c r="H37" s="37" t="inlineStr">
        <is>
          <t>Sauce Viejo</t>
        </is>
      </c>
      <c r="I37" s="37" t="inlineStr">
        <is>
          <t>Futuro RS</t>
        </is>
      </c>
      <c r="J37" s="38" t="n">
        <v>-31.76</v>
      </c>
      <c r="K37" s="38" t="n">
        <v>-60.83</v>
      </c>
      <c r="L37" s="39" t="n">
        <v>24.57</v>
      </c>
      <c r="M37" s="39" t="n">
        <v>1.25</v>
      </c>
      <c r="N37" s="39" t="n">
        <v>30.7125</v>
      </c>
      <c r="O37" s="39" t="n"/>
      <c r="P37" s="37" t="inlineStr">
        <is>
          <t>Coordenada ET actualizada 16/06/2026; distancia lineal recalculada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2026-06-11T22:43:40Z</dcterms:created>
  <dcterms:modified xmlns:dcterms="http://purl.org/dc/terms/" xmlns:xsi="http://www.w3.org/2001/XMLSchema-instance" xsi:type="dcterms:W3CDTF">2026-06-16T14:48:45Z</dcterms:modified>
  <cp:lastModifiedBy>Enzo Martinez</cp:lastModifiedBy>
</cp:coreProperties>
</file>